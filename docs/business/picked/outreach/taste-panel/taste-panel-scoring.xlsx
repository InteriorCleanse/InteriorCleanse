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up" sheetId="1" state="visible" r:id="rId1"/>
    <sheet name="Results" sheetId="2" state="visible" r:id="rId2"/>
    <sheet name="Scor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7EC"/>
    </font>
    <font>
      <b val="1"/>
    </font>
    <font>
      <b val="1"/>
      <sz val="13"/>
    </font>
  </fonts>
  <fills count="4">
    <fill>
      <patternFill/>
    </fill>
    <fill>
      <patternFill patternType="gray125"/>
    </fill>
    <fill>
      <patternFill patternType="solid">
        <fgColor rgb="00FFF0C7"/>
      </patternFill>
    </fill>
    <fill>
      <patternFill patternType="solid">
        <fgColor rgb="001F4D2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2" borderId="0" pivotButton="0" quotePrefix="0" xfId="0"/>
    <xf numFmtId="0" fontId="2" fillId="3" borderId="0" pivotButton="0" quotePrefix="0" xfId="0"/>
    <xf numFmtId="0" fontId="3" fillId="0" borderId="0" pivotButton="0" quotePrefix="0" xfId="0"/>
    <xf numFmtId="9" fontId="0" fillId="2" borderId="0" pivotButton="0" quotePrefix="0" xfId="0"/>
    <xf numFmtId="2" fontId="0" fillId="0" borderId="0" pivotButton="0" quotePrefix="0" xfId="0"/>
    <xf numFmtId="9" fontId="0" fillId="0" borderId="0" pivotButton="0" quotePrefix="0" xfId="0"/>
    <xf numFmtId="0" fontId="4" fillId="0" borderId="0" pivotButton="0" quotePrefix="0" xfId="0"/>
    <xf numFmtId="0" fontId="2" fillId="3" borderId="0" applyAlignment="1" pivotButton="0" quotePrefix="0" xfId="0">
      <alignment horizontal="center" wrapText="1"/>
    </xf>
  </cellXfs>
  <cellStyles count="1">
    <cellStyle name="Normal" xfId="0" builtinId="0" hidden="0"/>
  </cellStyles>
  <dxfs count="2">
    <dxf>
      <fill>
        <patternFill patternType="solid">
          <fgColor rgb="00D7F0C2"/>
        </patternFill>
      </fill>
    </dxf>
    <dxf>
      <fill>
        <patternFill patternType="solid">
          <fgColor rgb="00F8D0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8" customWidth="1" min="1" max="1"/>
    <col width="16" customWidth="1" min="2" max="2"/>
    <col width="40" customWidth="1" min="3" max="3"/>
  </cols>
  <sheetData>
    <row r="1">
      <c r="A1" s="1" t="inlineStr">
        <is>
          <t>Picked blind taste panel: scoring workbook</t>
        </is>
      </c>
    </row>
    <row r="2">
      <c r="A2" t="inlineStr">
        <is>
          <t>Yellow cells are inputs. Enter the codes before the panel; enter which code is Picked only after every sheet is typed in.</t>
        </is>
      </c>
    </row>
    <row r="4">
      <c r="A4" t="inlineStr">
        <is>
          <t>Flavor tested</t>
        </is>
      </c>
      <c r="B4" s="2" t="inlineStr">
        <is>
          <t>Strawberry</t>
        </is>
      </c>
    </row>
    <row r="5">
      <c r="A5" t="inlineStr">
        <is>
          <t>Date</t>
        </is>
      </c>
      <c r="B5" s="2" t="n"/>
    </row>
    <row r="7">
      <c r="A7" s="3" t="inlineStr">
        <is>
          <t>Product</t>
        </is>
      </c>
      <c r="B7" s="3" t="inlineStr">
        <is>
          <t>Cup code</t>
        </is>
      </c>
      <c r="C7" s="3" t="inlineStr">
        <is>
          <t>What it is (from the sealed key)</t>
        </is>
      </c>
    </row>
    <row r="8">
      <c r="A8" t="inlineStr">
        <is>
          <t>A</t>
        </is>
      </c>
      <c r="B8" s="2" t="n"/>
      <c r="C8" s="2" t="n"/>
    </row>
    <row r="9">
      <c r="A9" t="inlineStr">
        <is>
          <t>B</t>
        </is>
      </c>
      <c r="B9" s="2" t="n"/>
      <c r="C9" s="2" t="n"/>
    </row>
    <row r="10">
      <c r="A10" t="inlineStr">
        <is>
          <t>C</t>
        </is>
      </c>
      <c r="B10" s="2" t="n"/>
      <c r="C10" s="2" t="n"/>
    </row>
    <row r="12">
      <c r="A12" s="4" t="inlineStr">
        <is>
          <t>Which product letter is Picked?</t>
        </is>
      </c>
      <c r="B12" s="2" t="n"/>
    </row>
    <row r="14">
      <c r="A14" s="4" t="inlineStr">
        <is>
          <t>Ship rule</t>
        </is>
      </c>
    </row>
    <row r="15">
      <c r="A15" t="inlineStr">
        <is>
          <t>Minimum average liking (1 to 9)</t>
        </is>
      </c>
      <c r="B15" s="2" t="n">
        <v>7</v>
      </c>
    </row>
    <row r="16">
      <c r="A16" t="inlineStr">
        <is>
          <t>Minimum share who would drink Picked again</t>
        </is>
      </c>
      <c r="B16" s="5" t="n">
        <v>0.5</v>
      </c>
    </row>
    <row r="17">
      <c r="A17" t="inlineStr">
        <is>
          <t>Picked must have the highest "tastes like real fruit" average</t>
        </is>
      </c>
      <c r="B17" t="inlineStr">
        <is>
          <t>Yes</t>
        </is>
      </c>
    </row>
  </sheetData>
  <dataValidations count="1">
    <dataValidation sqref="B12" showDropDown="0" showInputMessage="0" showErrorMessage="0" allowBlank="1" type="list">
      <formula1>"A,B,C"</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60" customWidth="1" min="1" max="1"/>
    <col width="22" customWidth="1" min="2" max="2"/>
    <col width="22" customWidth="1" min="3" max="3"/>
    <col width="22" customWidth="1" min="4" max="4"/>
  </cols>
  <sheetData>
    <row r="1">
      <c r="A1" s="1" t="inlineStr">
        <is>
          <t>Results</t>
        </is>
      </c>
    </row>
    <row r="3">
      <c r="A3" s="3" t="inlineStr">
        <is>
          <t>Measure</t>
        </is>
      </c>
      <c r="B3" s="3" t="inlineStr">
        <is>
          <t>Product A</t>
        </is>
      </c>
      <c r="C3" s="3" t="inlineStr">
        <is>
          <t>Product B</t>
        </is>
      </c>
      <c r="D3" s="3" t="inlineStr">
        <is>
          <t>Product C</t>
        </is>
      </c>
    </row>
    <row r="4">
      <c r="A4" t="inlineStr">
        <is>
          <t>Cup code</t>
        </is>
      </c>
      <c r="B4">
        <f>Setup!B8</f>
        <v/>
      </c>
      <c r="C4">
        <f>Setup!B9</f>
        <v/>
      </c>
      <c r="D4">
        <f>Setup!B10</f>
        <v/>
      </c>
    </row>
    <row r="5">
      <c r="A5" t="inlineStr">
        <is>
          <t>Tasters scored (liking)</t>
        </is>
      </c>
      <c r="B5">
        <f>COUNT(Scores!C4:C43)</f>
        <v/>
      </c>
      <c r="C5">
        <f>COUNT(Scores!H4:H43)</f>
        <v/>
      </c>
      <c r="D5">
        <f>COUNT(Scores!M4:M43)</f>
        <v/>
      </c>
    </row>
    <row r="6">
      <c r="A6" t="inlineStr">
        <is>
          <t>Average liking (1 to 9)</t>
        </is>
      </c>
      <c r="B6" s="6">
        <f>IFERROR(AVERAGE(Scores!C4:C43),"")</f>
        <v/>
      </c>
      <c r="C6" s="6">
        <f>IFERROR(AVERAGE(Scores!H4:H43),"")</f>
        <v/>
      </c>
      <c r="D6" s="6">
        <f>IFERROR(AVERAGE(Scores!M4:M43),"")</f>
        <v/>
      </c>
    </row>
    <row r="7">
      <c r="A7" t="inlineStr">
        <is>
          <t>Average "tastes like real fruit" (1 to 7)</t>
        </is>
      </c>
      <c r="B7" s="6">
        <f>IFERROR(AVERAGE(Scores!D4:D43),"")</f>
        <v/>
      </c>
      <c r="C7" s="6">
        <f>IFERROR(AVERAGE(Scores!I4:I43),"")</f>
        <v/>
      </c>
      <c r="D7" s="6">
        <f>IFERROR(AVERAGE(Scores!N4:N43),"")</f>
        <v/>
      </c>
    </row>
    <row r="8">
      <c r="A8" t="inlineStr">
        <is>
          <t>Average texture (1 to 9)</t>
        </is>
      </c>
      <c r="B8" s="6">
        <f>IFERROR(AVERAGE(Scores!G4:G43),"")</f>
        <v/>
      </c>
      <c r="C8" s="6">
        <f>IFERROR(AVERAGE(Scores!L4:L43),"")</f>
        <v/>
      </c>
      <c r="D8" s="6">
        <f>IFERROR(AVERAGE(Scores!Q4:Q43),"")</f>
        <v/>
      </c>
    </row>
    <row r="9">
      <c r="A9" t="inlineStr">
        <is>
          <t>Average aftertaste (5 = none or pleasant)</t>
        </is>
      </c>
      <c r="B9" s="6">
        <f>IFERROR(AVERAGE(Scores!F4:F43),"")</f>
        <v/>
      </c>
      <c r="C9" s="6">
        <f>IFERROR(AVERAGE(Scores!K4:K43),"")</f>
        <v/>
      </c>
      <c r="D9" s="6">
        <f>IFERROR(AVERAGE(Scores!P4:P43),"")</f>
        <v/>
      </c>
    </row>
    <row r="10">
      <c r="A10" t="inlineStr">
        <is>
          <t>Sweetness just right (score 3)</t>
        </is>
      </c>
      <c r="B10" s="7">
        <f>IFERROR(COUNTIF(Scores!E4:E43,3)/COUNT(Scores!E4:E43),"")</f>
        <v/>
      </c>
      <c r="C10" s="7">
        <f>IFERROR(COUNTIF(Scores!J4:J43,3)/COUNT(Scores!J4:J43),"")</f>
        <v/>
      </c>
      <c r="D10" s="7">
        <f>IFERROR(COUNTIF(Scores!O4:O43,3)/COUNT(Scores!O4:O43),"")</f>
        <v/>
      </c>
    </row>
    <row r="11">
      <c r="A11" t="inlineStr">
        <is>
          <t>Too sweet (4 or 5)</t>
        </is>
      </c>
      <c r="B11" s="7">
        <f>IFERROR(COUNTIF(Scores!E4:E43,"&gt;=4")/COUNT(Scores!E4:E43),"")</f>
        <v/>
      </c>
      <c r="C11" s="7">
        <f>IFERROR(COUNTIF(Scores!J4:J43,"&gt;=4")/COUNT(Scores!J4:J43),"")</f>
        <v/>
      </c>
      <c r="D11" s="7">
        <f>IFERROR(COUNTIF(Scores!O4:O43,"&gt;=4")/COUNT(Scores!O4:O43),"")</f>
        <v/>
      </c>
    </row>
    <row r="12">
      <c r="A12" t="inlineStr">
        <is>
          <t>Not sweet enough (1 or 2)</t>
        </is>
      </c>
      <c r="B12" s="7">
        <f>IFERROR(COUNTIF(Scores!E4:E43,"&lt;=2")/COUNT(Scores!E4:E43),"")</f>
        <v/>
      </c>
      <c r="C12" s="7">
        <f>IFERROR(COUNTIF(Scores!J4:J43,"&lt;=2")/COUNT(Scores!J4:J43),"")</f>
        <v/>
      </c>
      <c r="D12" s="7">
        <f>IFERROR(COUNTIF(Scores!O4:O43,"&lt;=2")/COUNT(Scores!O4:O43),"")</f>
        <v/>
      </c>
    </row>
    <row r="13">
      <c r="A13" t="inlineStr">
        <is>
          <t>Would drink again (count)</t>
        </is>
      </c>
      <c r="B13">
        <f>COUNTIF(Scores!R4:R43,"A")</f>
        <v/>
      </c>
      <c r="C13">
        <f>COUNTIF(Scores!R4:R43,"B")</f>
        <v/>
      </c>
      <c r="D13">
        <f>COUNTIF(Scores!R4:R43,"C")</f>
        <v/>
      </c>
    </row>
    <row r="14">
      <c r="A14" t="inlineStr">
        <is>
          <t>Would drink again (share)</t>
        </is>
      </c>
      <c r="B14" s="7">
        <f>IFERROR(COUNTIF(Scores!R4:R43,"A")/COUNTA(Scores!R4:R43),"")</f>
        <v/>
      </c>
      <c r="C14" s="7">
        <f>IFERROR(COUNTIF(Scores!R4:R43,"B")/COUNTA(Scores!R4:R43),"")</f>
        <v/>
      </c>
      <c r="D14" s="7">
        <f>IFERROR(COUNTIF(Scores!R4:R43,"C")/COUNTA(Scores!R4:R43),"")</f>
        <v/>
      </c>
    </row>
    <row r="17">
      <c r="A17" s="8" t="inlineStr">
        <is>
          <t>Ship decision for Picked</t>
        </is>
      </c>
    </row>
    <row r="18">
      <c r="A18" t="inlineStr">
        <is>
          <t>Picked is highest on "tastes like real fruit"</t>
        </is>
      </c>
      <c r="B18">
        <f>IF(Setup!B12="","enter Picked letter",IF(INDEX(B7:D7,MATCH(Setup!B12,{"A","B","C"},0))=MAX(B7:D7),"PASS","FAIL"))</f>
        <v/>
      </c>
    </row>
    <row r="19">
      <c r="A19" t="inlineStr">
        <is>
          <t>Picked average liking at or above the minimum</t>
        </is>
      </c>
      <c r="B19">
        <f>IF(Setup!B12="","enter Picked letter",IF(INDEX(B6:D6,MATCH(Setup!B12,{"A","B","C"},0))&gt;=Setup!B15,"PASS","FAIL"))</f>
        <v/>
      </c>
    </row>
    <row r="20">
      <c r="A20" t="inlineStr">
        <is>
          <t>Share who would drink Picked again at or above the minimum</t>
        </is>
      </c>
      <c r="B20">
        <f>IF(Setup!B12="","enter Picked letter",IF(INDEX(B14:D14,MATCH(Setup!B12,{"A","B","C"},0))&gt;=Setup!B16,"PASS","FAIL"))</f>
        <v/>
      </c>
    </row>
    <row r="21">
      <c r="A21" s="8" t="inlineStr">
        <is>
          <t>SHIP THIS FLAVOR?</t>
        </is>
      </c>
      <c r="B21" s="8">
        <f>IF(Setup!B12="","enter Picked letter",IF(AND(B18="PASS",B19="PASS",B20="PASS"),"SHIP","NOT YET: another round"))</f>
        <v/>
      </c>
    </row>
    <row r="23">
      <c r="A23" t="inlineStr">
        <is>
          <t>Not yet? Send the manufacturer the "What would you change" notes, the sweetness split, and the aftertaste score. Keep the paper sheets: they are the evidence behind any taste claim.</t>
        </is>
      </c>
    </row>
  </sheetData>
  <conditionalFormatting sqref="B18:B21">
    <cfRule type="expression" priority="1" dxfId="0">
      <formula>OR(B18="PASS",B18="SHIP")</formula>
    </cfRule>
    <cfRule type="expression" priority="2" dxfId="1">
      <formula>OR(B18="FAIL",LEFT(B18,3)="NOT")</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30" customWidth="1" min="19" max="19"/>
  </cols>
  <sheetData>
    <row r="1">
      <c r="A1" t="inlineStr">
        <is>
          <t>Type one row per taster. Put each score under the product letter whose code was on that cup (see Setup). Leave blank if they skipped a question.</t>
        </is>
      </c>
    </row>
    <row r="2">
      <c r="A2" s="9" t="inlineStr">
        <is>
          <t>Taster</t>
        </is>
      </c>
      <c r="B2" s="9" t="inlineStr">
        <is>
          <t>Protein habit</t>
        </is>
      </c>
      <c r="C2" s="9" t="inlineStr">
        <is>
          <t>Product A</t>
        </is>
      </c>
      <c r="D2" s="9" t="n"/>
      <c r="E2" s="9" t="n"/>
      <c r="F2" s="9" t="n"/>
      <c r="G2" s="9" t="n"/>
      <c r="H2" s="9" t="inlineStr">
        <is>
          <t>Product B</t>
        </is>
      </c>
      <c r="I2" s="9" t="n"/>
      <c r="J2" s="9" t="n"/>
      <c r="K2" s="9" t="n"/>
      <c r="L2" s="9" t="n"/>
      <c r="M2" s="9" t="inlineStr">
        <is>
          <t>Product C</t>
        </is>
      </c>
      <c r="N2" s="9" t="n"/>
      <c r="O2" s="9" t="n"/>
      <c r="P2" s="9" t="n"/>
      <c r="Q2" s="9" t="n"/>
      <c r="R2" s="9" t="inlineStr">
        <is>
          <t>Drink again</t>
        </is>
      </c>
      <c r="S2" s="9" t="inlineStr">
        <is>
          <t>Notes</t>
        </is>
      </c>
    </row>
    <row r="3">
      <c r="A3" s="9" t="n"/>
      <c r="B3" s="9" t="n"/>
      <c r="C3" s="9" t="inlineStr">
        <is>
          <t>Like (1-9)</t>
        </is>
      </c>
      <c r="D3" s="9" t="inlineStr">
        <is>
          <t>Fruit (1-7)</t>
        </is>
      </c>
      <c r="E3" s="9" t="inlineStr">
        <is>
          <t>Sweet (1-5)</t>
        </is>
      </c>
      <c r="F3" s="9" t="inlineStr">
        <is>
          <t>After (1-5)</t>
        </is>
      </c>
      <c r="G3" s="9" t="inlineStr">
        <is>
          <t>Texture (1-9)</t>
        </is>
      </c>
      <c r="H3" s="9" t="inlineStr">
        <is>
          <t>Like (1-9)</t>
        </is>
      </c>
      <c r="I3" s="9" t="inlineStr">
        <is>
          <t>Fruit (1-7)</t>
        </is>
      </c>
      <c r="J3" s="9" t="inlineStr">
        <is>
          <t>Sweet (1-5)</t>
        </is>
      </c>
      <c r="K3" s="9" t="inlineStr">
        <is>
          <t>After (1-5)</t>
        </is>
      </c>
      <c r="L3" s="9" t="inlineStr">
        <is>
          <t>Texture (1-9)</t>
        </is>
      </c>
      <c r="M3" s="9" t="inlineStr">
        <is>
          <t>Like (1-9)</t>
        </is>
      </c>
      <c r="N3" s="9" t="inlineStr">
        <is>
          <t>Fruit (1-7)</t>
        </is>
      </c>
      <c r="O3" s="9" t="inlineStr">
        <is>
          <t>Sweet (1-5)</t>
        </is>
      </c>
      <c r="P3" s="9" t="inlineStr">
        <is>
          <t>After (1-5)</t>
        </is>
      </c>
      <c r="Q3" s="9" t="inlineStr">
        <is>
          <t>Texture (1-9)</t>
        </is>
      </c>
      <c r="R3" s="9" t="inlineStr">
        <is>
          <t>Letter A, B or C</t>
        </is>
      </c>
      <c r="S3" s="9" t="n"/>
    </row>
    <row r="4">
      <c r="A4" t="n">
        <v>1</v>
      </c>
    </row>
    <row r="5">
      <c r="A5" t="n">
        <v>2</v>
      </c>
    </row>
    <row r="6">
      <c r="A6" t="n">
        <v>3</v>
      </c>
    </row>
    <row r="7">
      <c r="A7" t="n">
        <v>4</v>
      </c>
    </row>
    <row r="8">
      <c r="A8" t="n">
        <v>5</v>
      </c>
    </row>
    <row r="9">
      <c r="A9" t="n">
        <v>6</v>
      </c>
    </row>
    <row r="10">
      <c r="A10" t="n">
        <v>7</v>
      </c>
    </row>
    <row r="11">
      <c r="A11" t="n">
        <v>8</v>
      </c>
    </row>
    <row r="12">
      <c r="A12" t="n">
        <v>9</v>
      </c>
    </row>
    <row r="13">
      <c r="A13" t="n">
        <v>10</v>
      </c>
    </row>
    <row r="14">
      <c r="A14" t="n">
        <v>11</v>
      </c>
    </row>
    <row r="15">
      <c r="A15" t="n">
        <v>12</v>
      </c>
    </row>
    <row r="16">
      <c r="A16" t="n">
        <v>13</v>
      </c>
    </row>
    <row r="17">
      <c r="A17" t="n">
        <v>14</v>
      </c>
    </row>
    <row r="18">
      <c r="A18" t="n">
        <v>15</v>
      </c>
    </row>
    <row r="19">
      <c r="A19" t="n">
        <v>16</v>
      </c>
    </row>
    <row r="20">
      <c r="A20" t="n">
        <v>17</v>
      </c>
    </row>
    <row r="21">
      <c r="A21" t="n">
        <v>18</v>
      </c>
    </row>
    <row r="22">
      <c r="A22" t="n">
        <v>19</v>
      </c>
    </row>
    <row r="23">
      <c r="A23" t="n">
        <v>20</v>
      </c>
    </row>
    <row r="24">
      <c r="A24" t="n">
        <v>21</v>
      </c>
    </row>
    <row r="25">
      <c r="A25" t="n">
        <v>22</v>
      </c>
    </row>
    <row r="26">
      <c r="A26" t="n">
        <v>23</v>
      </c>
    </row>
    <row r="27">
      <c r="A27" t="n">
        <v>24</v>
      </c>
    </row>
    <row r="28">
      <c r="A28" t="n">
        <v>25</v>
      </c>
    </row>
    <row r="29">
      <c r="A29" t="n">
        <v>26</v>
      </c>
    </row>
    <row r="30">
      <c r="A30" t="n">
        <v>27</v>
      </c>
    </row>
    <row r="31">
      <c r="A31" t="n">
        <v>28</v>
      </c>
    </row>
    <row r="32">
      <c r="A32" t="n">
        <v>29</v>
      </c>
    </row>
    <row r="33">
      <c r="A33" t="n">
        <v>30</v>
      </c>
    </row>
    <row r="34">
      <c r="A34" t="n">
        <v>31</v>
      </c>
    </row>
    <row r="35">
      <c r="A35" t="n">
        <v>32</v>
      </c>
    </row>
    <row r="36">
      <c r="A36" t="n">
        <v>33</v>
      </c>
    </row>
    <row r="37">
      <c r="A37" t="n">
        <v>34</v>
      </c>
    </row>
    <row r="38">
      <c r="A38" t="n">
        <v>35</v>
      </c>
    </row>
    <row r="39">
      <c r="A39" t="n">
        <v>36</v>
      </c>
    </row>
    <row r="40">
      <c r="A40" t="n">
        <v>37</v>
      </c>
    </row>
    <row r="41">
      <c r="A41" t="n">
        <v>38</v>
      </c>
    </row>
    <row r="42">
      <c r="A42" t="n">
        <v>39</v>
      </c>
    </row>
    <row r="43">
      <c r="A43" t="n">
        <v>40</v>
      </c>
    </row>
  </sheetData>
  <mergeCells count="4">
    <mergeCell ref="H2:L2"/>
    <mergeCell ref="C2:G2"/>
    <mergeCell ref="A1:S1"/>
    <mergeCell ref="M2:Q2"/>
  </mergeCells>
  <dataValidations count="7">
    <dataValidation sqref="B4 B5 B6 B7 B8 B9 B10 B11 B12 B13 B14 B15 B16 B17 B18 B19 B20 B21 B22 B23 B24 B25 B26 B27 B28 B29 B30 B31 B32 B33 B34 B35 B36 B37 B38 B39 B40 B41 B42 B43" showDropDown="0" showInputMessage="0" showErrorMessage="0" allowBlank="1" type="list">
      <formula1>"most days,weekly,rarely"</formula1>
    </dataValidation>
    <dataValidation sqref="R4 R5 R6 R7 R8 R9 R10 R11 R12 R13 R14 R15 R16 R17 R18 R19 R20 R21 R22 R23 R24 R25 R26 R27 R28 R29 R30 R31 R32 R33 R34 R35 R36 R37 R38 R39 R40 R41 R42 R43" showDropDown="0" showInputMessage="0" showErrorMessage="0" allowBlank="1" type="list">
      <formula1>"A,B,C"</formula1>
    </dataValidation>
    <dataValidation sqref="C4:C43 H4:H43 M4:M43" showDropDown="0" showInputMessage="0" showErrorMessage="1" allowBlank="1" error="Like: whole number from 1 to 9" type="whole" operator="between">
      <formula1>1</formula1>
      <formula2>9</formula2>
    </dataValidation>
    <dataValidation sqref="D4:D43 I4:I43 N4:N43" showDropDown="0" showInputMessage="0" showErrorMessage="1" allowBlank="1" error="Fruit: whole number from 1 to 7" type="whole" operator="between">
      <formula1>1</formula1>
      <formula2>7</formula2>
    </dataValidation>
    <dataValidation sqref="E4:E43 J4:J43 O4:O43" showDropDown="0" showInputMessage="0" showErrorMessage="1" allowBlank="1" error="Sweet: whole number from 1 to 5" type="whole" operator="between">
      <formula1>1</formula1>
      <formula2>5</formula2>
    </dataValidation>
    <dataValidation sqref="F4:F43 K4:K43 P4:P43" showDropDown="0" showInputMessage="0" showErrorMessage="1" allowBlank="1" error="After: whole number from 1 to 5" type="whole" operator="between">
      <formula1>1</formula1>
      <formula2>5</formula2>
    </dataValidation>
    <dataValidation sqref="G4:G43 L4:L43 Q4:Q43" showDropDown="0" showInputMessage="0" showErrorMessage="1" allowBlank="1" error="Texture: whole number from 1 to 9" type="whole" operator="between">
      <formula1>1</formula1>
      <formula2>9</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2026-10-04T02:35:43Z</dcterms:created>
  <dcterms:modified xsi:type="dcterms:W3CDTF">2026-10-04T02:35:43Z</dcterms:modified>
</cp:coreProperties>
</file>