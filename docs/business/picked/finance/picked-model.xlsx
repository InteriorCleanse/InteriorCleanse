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Unit Economics" sheetId="3" state="visible" r:id="rId3"/>
    <sheet name="Monthly Cash Flow" sheetId="4" state="visible" r:id="rId4"/>
    <sheet name="Scenarios" sheetId="5" state="visible" r:id="rId5"/>
    <sheet name="calc_Lean_Low" sheetId="6" state="hidden" r:id="rId6"/>
    <sheet name="calc_Lean_Base" sheetId="7" state="hidden" r:id="rId7"/>
    <sheet name="calc_Lean_High" sheetId="8" state="hidden" r:id="rId8"/>
    <sheet name="calc_Standard_Low" sheetId="9" state="hidden" r:id="rId9"/>
    <sheet name="calc_Standard_Base" sheetId="10" state="hidden" r:id="rId10"/>
    <sheet name="calc_Standard_High" sheetId="11" state="hidden" r:id="rId11"/>
  </sheets>
  <definedNames>
    <definedName name="in_Mode">'Inputs'!$B$6</definedName>
    <definedName name="in_Case">'Inputs'!$B$7</definedName>
    <definedName name="in_MultLow">'Inputs'!$B$8</definedName>
    <definedName name="in_MultBase">'Inputs'!$B$9</definedName>
    <definedName name="in_MultHigh">'Inputs'!$B$10</definedName>
    <definedName name="in_StartCash">'Inputs'!$B$11</definedName>
    <definedName name="in_ModelStart">'Inputs'!$B$12</definedName>
    <definedName name="in_PricePouch">'Inputs'!$B$16</definedName>
    <definedName name="in_SubDisc">'Inputs'!$B$17</definedName>
    <definedName name="in_PriceStick">'Inputs'!$B$18</definedName>
    <definedName name="in_PriceStickBox">'Inputs'!$B$19</definedName>
    <definedName name="in_WsPouch">'Inputs'!$B$20</definedName>
    <definedName name="in_WsStick">'Inputs'!$B$21</definedName>
    <definedName name="in_DistDisc">'Inputs'!$B$22</definedName>
    <definedName name="in_FoundDisc">'Inputs'!$B$23</definedName>
    <definedName name="in_ShakerCost">'Inputs'!$B$24</definedName>
    <definedName name="in_CogsStd">'Inputs'!$B$28</definedName>
    <definedName name="in_CogsLean">'Inputs'!$B$29</definedName>
    <definedName name="in_StickCogsStd">'Inputs'!$B$30</definedName>
    <definedName name="in_StickCogsLean">'Inputs'!$B$31</definedName>
    <definedName name="in_ShipOrder">'Inputs'!$B$32</definedName>
    <definedName name="in_FreeShip">'Inputs'!$B$33</definedName>
    <definedName name="in_ShipCharge">'Inputs'!$B$34</definedName>
    <definedName name="in_CardPct">'Inputs'!$B$35</definedName>
    <definedName name="in_CardFixed">'Inputs'!$B$36</definedName>
    <definedName name="in_FreightPouch">'Inputs'!$B$37</definedName>
    <definedName name="in_FreightStick">'Inputs'!$B$38</definedName>
    <definedName name="in_FreightDist">'Inputs'!$B$39</definedName>
    <definedName name="in_SubShare">'Inputs'!$B$43</definedName>
    <definedName name="in_SubChurn">'Inputs'!$B$44</definedName>
    <definedName name="in_Repeat">'Inputs'!$B$45</definedName>
    <definedName name="in_PouchPerOrder">'Inputs'!$B$46</definedName>
    <definedName name="in_StickAttach">'Inputs'!$B$47</definedName>
    <definedName name="in_SticksPerBox">'Inputs'!$B$48</definedName>
    <definedName name="in_CAC">'Inputs'!$B$49</definedName>
    <definedName name="in_WaitSize">'Inputs'!$B$50</definedName>
    <definedName name="in_WaitConv">'Inputs'!$B$51</definedName>
    <definedName name="in_StoreChurn">'Inputs'!$B$52</definedName>
    <definedName name="in_PouchPerStore">'Inputs'!$B$53</definedName>
    <definedName name="in_StickPerStore">'Inputs'!$B$54</definedName>
    <definedName name="in_Net30">'Inputs'!$B$55</definedName>
    <definedName name="in_SampleBudget">'Inputs'!$B$56</definedName>
    <definedName name="in_SampleStart">'Inputs'!$B$57</definedName>
    <definedName name="in_RunLean">'Inputs'!$B$61</definedName>
    <definedName name="in_RunStd">'Inputs'!$B$62</definedName>
    <definedName name="in_StickRunLean">'Inputs'!$B$63</definedName>
    <definedName name="in_StickRunStd">'Inputs'!$B$64</definedName>
    <definedName name="in_Cover">'Inputs'!$B$65</definedName>
    <definedName name="in_Lead">'Inputs'!$B$66</definedName>
    <definedName name="in_PODate">'Inputs'!$B$67</definedName>
    <definedName name="in_Deposit">'Inputs'!$B$68</definedName>
    <definedName name="in_BalanceDate">'Inputs'!$B$69</definedName>
    <definedName name="in_FirstShip">'Inputs'!$B$70</definedName>
    <definedName name="in_SampleCreditLean">'Inputs'!$B$71</definedName>
    <definedName name="in_SampleCreditStd">'Inputs'!$B$72</definedName>
    <definedName name="in_Flavor2On">'Inputs'!$B$73</definedName>
    <definedName name="in_Flavor2Run">'Inputs'!$B$74</definedName>
    <definedName name="in_HydraOn">'Inputs'!$B$75</definedName>
    <definedName name="in_FxShopify">'Inputs'!$B$79</definedName>
    <definedName name="in_FxShopify_Start">'Inputs'!$D$79</definedName>
    <definedName name="in_FxKlaviyo">'Inputs'!$B$80</definedName>
    <definedName name="in_FxKlaviyo_Start">'Inputs'!$D$80</definedName>
    <definedName name="in_FxInsurance">'Inputs'!$B$81</definedName>
    <definedName name="in_FxInsurance_Start">'Inputs'!$D$81</definedName>
    <definedName name="in_FxSoftware">'Inputs'!$B$82</definedName>
    <definedName name="in_FxSoftware_Start">'Inputs'!$D$82</definedName>
    <definedName name="in_FxBooks">'Inputs'!$B$83</definedName>
    <definedName name="in_FxBooks_Start">'Inputs'!$D$83</definedName>
    <definedName name="in_FxAmazon">'Inputs'!$B$84</definedName>
    <definedName name="in_FxAmazon_Start">'Inputs'!$D$84</definedName>
    <definedName name="in_OtCompany_L">'Inputs'!$B$88</definedName>
    <definedName name="in_OtCompany_S">'Inputs'!$C$88</definedName>
    <definedName name="in_OtCompany_D">'Inputs'!$D$88</definedName>
    <definedName name="in_OtSamples_L">'Inputs'!$B$89</definedName>
    <definedName name="in_OtSamples_S">'Inputs'!$C$89</definedName>
    <definedName name="in_OtSamples_D">'Inputs'!$D$89</definedName>
    <definedName name="in_OtLabel_L">'Inputs'!$B$90</definedName>
    <definedName name="in_OtLabel_S">'Inputs'!$C$90</definedName>
    <definedName name="in_OtLabel_D">'Inputs'!$D$90</definedName>
    <definedName name="in_OtKit_L">'Inputs'!$B$91</definedName>
    <definedName name="in_OtKit_S">'Inputs'!$C$91</definedName>
    <definedName name="in_OtKit_D">'Inputs'!$D$91</definedName>
    <definedName name="in_OtHydra_L">'Inputs'!$B$92</definedName>
    <definedName name="in_OtHydra_S">'Inputs'!$C$92</definedName>
    <definedName name="in_OtHydra_D">'Inputs'!$D$92</definedName>
    <definedName name="in_OtFlavor2_L">'Inputs'!$B$93</definedName>
    <definedName name="in_OtFlavor2_S">'Inputs'!$C$93</definedName>
    <definedName name="in_OtFlavor2_D">'Inputs'!$D$93</definedName>
    <definedName name="in_OtCreatine_L">'Inputs'!$B$94</definedName>
    <definedName name="in_OtCreatine_S">'Inputs'!$C$94</definedName>
    <definedName name="in_OtCreatine_D">'Inputs'!$D$94</definedName>
  </definedNames>
  <calcPr calcId="124519" fullCalcOnLoad="1"/>
</workbook>
</file>

<file path=xl/styles.xml><?xml version="1.0" encoding="utf-8"?>
<styleSheet xmlns="http://schemas.openxmlformats.org/spreadsheetml/2006/main">
  <numFmts count="10">
    <numFmt numFmtId="164" formatCode="0.00&quot;x&quot;"/>
    <numFmt numFmtId="165" formatCode="&quot;$&quot;#,##0;[Red]-&quot;$&quot;#,##0"/>
    <numFmt numFmtId="166" formatCode="yyyy-mm-dd"/>
    <numFmt numFmtId="167" formatCode="&quot;$&quot;#,##0.00;[Red]-&quot;$&quot;#,##0.00"/>
    <numFmt numFmtId="168" formatCode="0.0%"/>
    <numFmt numFmtId="169" formatCode="0.0"/>
    <numFmt numFmtId="170" formatCode="#,##0;[Red]-#,##0"/>
    <numFmt numFmtId="171" formatCode="#,##0.0"/>
    <numFmt numFmtId="172" formatCode="mmm yyyy"/>
    <numFmt numFmtId="173" formatCode="0.0&quot;x&quot;"/>
  </numFmts>
  <fonts count="5">
    <font>
      <name val="Calibri"/>
      <family val="2"/>
      <color theme="1"/>
      <sz val="11"/>
      <scheme val="minor"/>
    </font>
    <font>
      <name val="Calibri"/>
      <b val="1"/>
      <color rgb="001E1A17"/>
      <sz val="14"/>
    </font>
    <font>
      <name val="Calibri"/>
      <i val="1"/>
      <color rgb="006B6058"/>
    </font>
    <font>
      <name val="Calibri"/>
      <b val="1"/>
      <color rgb="001E1A17"/>
    </font>
    <font>
      <name val="Calibri"/>
      <color rgb="001E1A17"/>
    </font>
  </fonts>
  <fills count="5">
    <fill>
      <patternFill/>
    </fill>
    <fill>
      <patternFill patternType="gray125"/>
    </fill>
    <fill>
      <patternFill patternType="solid">
        <fgColor rgb="00FFF7EC"/>
      </patternFill>
    </fill>
    <fill>
      <patternFill patternType="solid">
        <fgColor rgb="00F0505E"/>
      </patternFill>
    </fill>
    <fill>
      <patternFill patternType="solid">
        <fgColor rgb="00FFF2A8"/>
      </patternFill>
    </fill>
  </fills>
  <borders count="3">
    <border>
      <left/>
      <right/>
      <top/>
      <bottom/>
      <diagonal/>
    </border>
    <border>
      <left style="thin">
        <color rgb="00D9CBB8"/>
      </left>
      <right style="thin">
        <color rgb="00D9CBB8"/>
      </right>
      <top style="thin">
        <color rgb="00D9CBB8"/>
      </top>
      <bottom style="thin">
        <color rgb="00D9CBB8"/>
      </bottom>
    </border>
    <border>
      <top style="thin">
        <color rgb="001E1A17"/>
      </top>
    </border>
  </borders>
  <cellStyleXfs count="1">
    <xf numFmtId="0" fontId="0" fillId="0" borderId="0"/>
  </cellStyleXfs>
  <cellXfs count="5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4" fillId="2" borderId="0" applyAlignment="1" pivotButton="0" quotePrefix="0" xfId="0">
      <alignment vertical="top" wrapText="1"/>
    </xf>
    <xf numFmtId="0" fontId="3" fillId="3" borderId="0" applyAlignment="1" pivotButton="0" quotePrefix="0" xfId="0">
      <alignment vertical="top" wrapText="1"/>
    </xf>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3" fillId="3" borderId="1" applyAlignment="1" pivotButton="0" quotePrefix="0" xfId="0">
      <alignment vertical="center" wrapText="1"/>
    </xf>
    <xf numFmtId="0" fontId="4" fillId="0" borderId="0" pivotButton="0" quotePrefix="0" xfId="0"/>
    <xf numFmtId="0" fontId="4" fillId="4" borderId="1" pivotButton="0" quotePrefix="0" xfId="0"/>
    <xf numFmtId="0" fontId="4" fillId="0" borderId="0" applyAlignment="1" pivotButton="0" quotePrefix="0" xfId="0">
      <alignment vertical="top" wrapText="1"/>
    </xf>
    <xf numFmtId="164" fontId="4" fillId="4" borderId="1" pivotButton="0" quotePrefix="0" xfId="0"/>
    <xf numFmtId="165" fontId="4" fillId="4" borderId="1" pivotButton="0" quotePrefix="0" xfId="0"/>
    <xf numFmtId="166" fontId="4" fillId="4" borderId="1" pivotButton="0" quotePrefix="0" xfId="0"/>
    <xf numFmtId="167" fontId="4" fillId="4" borderId="1" pivotButton="0" quotePrefix="0" xfId="0"/>
    <xf numFmtId="168" fontId="4" fillId="4" borderId="1" pivotButton="0" quotePrefix="0" xfId="0"/>
    <xf numFmtId="1" fontId="4" fillId="4" borderId="1" pivotButton="0" quotePrefix="0" xfId="0"/>
    <xf numFmtId="169" fontId="4" fillId="4" borderId="1" pivotButton="0" quotePrefix="0" xfId="0"/>
    <xf numFmtId="170" fontId="4" fillId="4" borderId="1" pivotButton="0" quotePrefix="0" xfId="0"/>
    <xf numFmtId="171" fontId="4" fillId="4" borderId="1" pivotButton="0" quotePrefix="0" xfId="0"/>
    <xf numFmtId="172" fontId="3" fillId="0" borderId="0" pivotButton="0" quotePrefix="0" xfId="0"/>
    <xf numFmtId="167" fontId="4" fillId="0" borderId="0" pivotButton="0" quotePrefix="0" xfId="0"/>
    <xf numFmtId="167" fontId="3" fillId="0" borderId="0" pivotButton="0" quotePrefix="0" xfId="0"/>
    <xf numFmtId="168" fontId="0" fillId="0" borderId="0" pivotButton="0" quotePrefix="0" xfId="0"/>
    <xf numFmtId="0" fontId="3" fillId="0" borderId="0" pivotButton="0" quotePrefix="0" xfId="0"/>
    <xf numFmtId="167" fontId="0" fillId="0" borderId="0" pivotButton="0" quotePrefix="0" xfId="0"/>
    <xf numFmtId="2" fontId="4" fillId="0" borderId="0" pivotButton="0" quotePrefix="0" xfId="0"/>
    <xf numFmtId="173" fontId="4" fillId="0" borderId="0" pivotButton="0" quotePrefix="0" xfId="0"/>
    <xf numFmtId="0" fontId="3" fillId="2" borderId="1" pivotButton="0" quotePrefix="0" xfId="0"/>
    <xf numFmtId="164" fontId="3" fillId="2" borderId="1" pivotButton="0" quotePrefix="0" xfId="0"/>
    <xf numFmtId="167" fontId="3" fillId="2" borderId="1" pivotButton="0" quotePrefix="0" xfId="0"/>
    <xf numFmtId="170" fontId="3" fillId="2" borderId="1" pivotButton="0" quotePrefix="0" xfId="0"/>
    <xf numFmtId="165" fontId="3" fillId="2" borderId="1" pivotButton="0" quotePrefix="0" xfId="0"/>
    <xf numFmtId="165" fontId="3" fillId="2" borderId="1" applyAlignment="1" pivotButton="0" quotePrefix="0" xfId="0">
      <alignment horizontal="right"/>
    </xf>
    <xf numFmtId="172" fontId="3" fillId="2" borderId="1" applyAlignment="1" pivotButton="0" quotePrefix="0" xfId="0">
      <alignment horizontal="right"/>
    </xf>
    <xf numFmtId="170" fontId="3" fillId="2" borderId="1" applyAlignment="1" pivotButton="0" quotePrefix="0" xfId="0">
      <alignment horizontal="right"/>
    </xf>
    <xf numFmtId="172" fontId="3" fillId="3" borderId="1" applyAlignment="1" pivotButton="0" quotePrefix="0" xfId="0">
      <alignment horizontal="center"/>
    </xf>
    <xf numFmtId="1" fontId="4" fillId="0" borderId="0" pivotButton="0" quotePrefix="0" xfId="0"/>
    <xf numFmtId="171" fontId="4" fillId="0" borderId="0" pivotButton="0" quotePrefix="0" xfId="0"/>
    <xf numFmtId="171" fontId="3" fillId="2" borderId="0" pivotButton="0" quotePrefix="0" xfId="0"/>
    <xf numFmtId="171" fontId="3" fillId="0" borderId="2" pivotButton="0" quotePrefix="0" xfId="0"/>
    <xf numFmtId="170" fontId="4" fillId="0" borderId="0" pivotButton="0" quotePrefix="0" xfId="0"/>
    <xf numFmtId="170" fontId="3" fillId="2" borderId="0" pivotButton="0" quotePrefix="0" xfId="0"/>
    <xf numFmtId="165" fontId="4" fillId="0" borderId="0" pivotButton="0" quotePrefix="0" xfId="0"/>
    <xf numFmtId="165" fontId="3" fillId="2" borderId="0" pivotButton="0" quotePrefix="0" xfId="0"/>
    <xf numFmtId="165" fontId="3" fillId="0" borderId="2" pivotButton="0" quotePrefix="0" xfId="0"/>
    <xf numFmtId="165" fontId="3" fillId="0" borderId="0" pivotButton="0" quotePrefix="0" xfId="0"/>
    <xf numFmtId="164" fontId="0" fillId="0" borderId="0" pivotButton="0" quotePrefix="0" xfId="0"/>
    <xf numFmtId="165" fontId="0" fillId="0" borderId="0" applyAlignment="1" pivotButton="0" quotePrefix="0" xfId="0">
      <alignment horizontal="right"/>
    </xf>
    <xf numFmtId="172" fontId="0" fillId="0" borderId="0" applyAlignment="1" pivotButton="0" quotePrefix="0" xfId="0">
      <alignment horizontal="right"/>
    </xf>
  </cellXfs>
  <cellStyles count="1">
    <cellStyle name="Normal" xfId="0" builtinId="0" hidden="0"/>
  </cellStyles>
  <dxfs count="3">
    <dxf>
      <font>
        <b val="1"/>
        <color rgb="001E1A17"/>
      </font>
      <fill>
        <patternFill patternType="solid">
          <fgColor rgb="00F0505E"/>
        </patternFill>
      </fill>
    </dxf>
    <dxf>
      <fill>
        <patternFill patternType="solid">
          <fgColor rgb="00F8C9CD"/>
        </patternFill>
      </fill>
    </dxf>
    <dxf>
      <fill>
        <patternFill patternType="solid">
          <fgColor rgb="00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1A17"/>
    <outlinePr summaryBelow="1" summaryRight="1"/>
    <pageSetUpPr/>
  </sheetPr>
  <dimension ref="A1:A37"/>
  <sheetViews>
    <sheetView tabSelected="1" workbookViewId="0">
      <selection activeCell="A1" sqref="A1"/>
    </sheetView>
  </sheetViews>
  <sheetFormatPr baseColWidth="8" defaultRowHeight="15"/>
  <cols>
    <col width="120" customWidth="1" min="1" max="1"/>
  </cols>
  <sheetData>
    <row r="1">
      <c r="A1" s="1" t="inlineStr">
        <is>
          <t>Picked financial model: how to use it</t>
        </is>
      </c>
    </row>
    <row r="2">
      <c r="A2" s="2" t="inlineStr">
        <is>
          <t>Version 1.0, built Oct 2026 from STRATEGY.md, TIMELINE.md, EXPANSION.md, OPERATIONS.md and LAUNCH_GUIDE.md. Pre-launch: nothing in this file is an actual sale.</t>
        </is>
      </c>
    </row>
    <row r="3">
      <c r="A3" s="3" t="inlineStr"/>
    </row>
    <row r="4">
      <c r="A4" s="4" t="inlineStr">
        <is>
          <t>How to use it</t>
        </is>
      </c>
    </row>
    <row r="5">
      <c r="A5" s="3" t="inlineStr">
        <is>
          <t>1. Go to Inputs. Yellow cells are the only cells to change. Every input has a source / note saying where the figure came from.</t>
        </is>
      </c>
    </row>
    <row r="6">
      <c r="A6" s="3" t="inlineStr">
        <is>
          <t>2. Pick the run-size mode (Lean = 144-unit runs at Pure Private Label, Standard = 1,000-unit runs) and the demand case (Low / Base / High).</t>
        </is>
      </c>
    </row>
    <row r="7">
      <c r="A7" s="3" t="inlineStr">
        <is>
          <t>3. Set starting cash to the money you will actually put in, and replace the demand table (section 8) with your own plan.</t>
        </is>
      </c>
    </row>
    <row r="8">
      <c r="A8" s="3" t="inlineStr">
        <is>
          <t>4. Read Monthly Cash Flow for the month-by-month view: the summary at the top gives the cash low point, break-even month and cash at Jun / Dec 2027.</t>
        </is>
      </c>
    </row>
    <row r="9">
      <c r="A9" s="3" t="inlineStr">
        <is>
          <t>5. Read Scenarios to see all three demand cases, and Lean vs Standard, side by side. Read Unit Economics for contribution per order, CAC payback and LTV.</t>
        </is>
      </c>
    </row>
    <row r="10">
      <c r="A10" s="3" t="inlineStr">
        <is>
          <t>6. Save a copy with a new version number before big changes (picked-model-v1.1.xlsx) so there is a trail.</t>
        </is>
      </c>
    </row>
    <row r="11">
      <c r="A11" s="3" t="inlineStr"/>
    </row>
    <row r="12">
      <c r="A12" s="4" t="inlineStr">
        <is>
          <t>What is an estimate (replace with quotes, in this order)</t>
        </is>
      </c>
    </row>
    <row r="13">
      <c r="A13" s="3" t="inlineStr">
        <is>
          <t>1. Pouch cost of goods: $23 standard is STRATEGY.md's estimate; $30 lean is a placeholder (small runs cost more). Only the whey price is sourced. Replace both with manufacturer quotes first: they drive every margin.</t>
        </is>
      </c>
    </row>
    <row r="14">
      <c r="A14" s="3" t="inlineStr">
        <is>
          <t>2. Stick pack cost ($1.30), the lean stick run size (1,440 assumes 144 boxes of 10) and stick freight ($0.10).</t>
        </is>
      </c>
    </row>
    <row r="15">
      <c r="A15" s="3" t="inlineStr">
        <is>
          <t>3. Payment terms: 50% deposit at the Dec 18, 2026 purchase order and the balance before first ship are assumptions. Confirm with the manufacturer.</t>
        </is>
      </c>
    </row>
    <row r="16">
      <c r="A16" s="3" t="inlineStr">
        <is>
          <t>4. One-time launch costs use the midpoints of TIMELINE.md / LAUNCH_GUIDE.md ranges. Replace with the lawyer, label consultant, insurer and manufacturer quotes.</t>
        </is>
      </c>
    </row>
    <row r="17">
      <c r="A17" s="3" t="inlineStr">
        <is>
          <t>5. Insurance $250/month, Klaviyo $20/month, bookkeeping $200/month, shaker $4 and the $150/month sampling budget are estimates or budgets.</t>
        </is>
      </c>
    </row>
    <row r="18">
      <c r="A18" s="3" t="inlineStr">
        <is>
          <t>6. Shipping and packing $8 per order comes from STRATEGY.md; OPERATIONS.md shows $8-13 postage at the 2 lb rate. Weigh a real packed pouch and price it in Pirate Ship.</t>
        </is>
      </c>
    </row>
    <row r="19">
      <c r="A19" s="3" t="inlineStr"/>
    </row>
    <row r="20">
      <c r="A20" s="4" t="inlineStr">
        <is>
          <t>What is a scenario assumption (the owner sets these; they are not forecasts)</t>
        </is>
      </c>
    </row>
    <row r="21">
      <c r="A21" s="3" t="inlineStr">
        <is>
          <t>Monthly new customers (organic, paid), new store accounts, waitlist size and conversion, subscription share, churn, repeat rate, CAC, stick attach rate, sales per store, and the Low/High multipliers.</t>
        </is>
      </c>
    </row>
    <row r="22">
      <c r="A22" s="3" t="inlineStr">
        <is>
          <t>Defaults are deliberately conservative. Replace them with real numbers as soon as the waitlist and first orders exist (the five Sunday numbers in LAUNCH_GUIDE.md).</t>
        </is>
      </c>
    </row>
    <row r="23">
      <c r="A23" s="3" t="inlineStr"/>
    </row>
    <row r="24">
      <c r="A24" s="4" t="inlineStr">
        <is>
          <t>How the model works</t>
        </is>
      </c>
    </row>
    <row r="25">
      <c r="A25" s="3" t="inlineStr">
        <is>
          <t>Sales start in the first ship month (Mar 2027). Waitlist conversions all land in that month at the founding discount plus a free shaker.</t>
        </is>
      </c>
    </row>
    <row r="26">
      <c r="A26" s="3" t="inlineStr">
        <is>
          <t>Subscribers get one pouch a month and churn monthly; one-off orders repeat the next month at the repeat rate. Store accounts churn monthly.</t>
        </is>
      </c>
    </row>
    <row r="27">
      <c r="A27" s="3" t="inlineStr">
        <is>
          <t>Inventory: the first run is paid as a deposit (Dec 2026) and balance (Feb 2027) and arrives in the first ship month. After that, when stock on hand plus on order falls below the reorder point (months of demand), the model orders whole runs, pays in full that month, and receives them after the lead time. The shortfall rows must stay 0; if they turn red, raise the reorder point or the run size, because revenue assumes every order ships.</t>
        </is>
      </c>
    </row>
    <row r="28">
      <c r="A28" s="3" t="inlineStr">
        <is>
          <t>Cash view treats inventory as cash out when bought. The operating view at the bottom of Monthly Cash Flow uses COGS on units sold and excludes launch costs; break-even month comes from it.</t>
        </is>
      </c>
    </row>
    <row r="29">
      <c r="A29" s="3" t="inlineStr">
        <is>
          <t>Scenarios: each demand case and run size is a full hidden copy of the monthly model (calc_* sheets). Unhide them to audit; do not edit them.</t>
        </is>
      </c>
    </row>
    <row r="30">
      <c r="A30" s="3" t="inlineStr"/>
    </row>
    <row r="31">
      <c r="A31" s="4" t="inlineStr">
        <is>
          <t>Not in the model (add when real)</t>
        </is>
      </c>
    </row>
    <row r="32">
      <c r="A32" s="3" t="inlineStr">
        <is>
          <t>Hydration stick, creatine, Amazon, Faire marketplace and distributor sales; hydration sticks and the second flavour appear as costs, and second-flavour pouches share the pouch demand rows.</t>
        </is>
      </c>
    </row>
    <row r="33">
      <c r="A33" s="3" t="inlineStr">
        <is>
          <t>Sales tax (collected and remitted, not revenue), income tax, owner pay, 3PL fees above ~300 orders a month, Shopify Tax fees after $100k, Klaviyo price steps, inventory write-offs and returns.</t>
        </is>
      </c>
    </row>
    <row r="34">
      <c r="A34" s="3" t="inlineStr">
        <is>
          <t>Pre-order cash timing: the model books waitlist orders in the ship month. If Shopify charges at pre-order, January cash is better than shown.</t>
        </is>
      </c>
    </row>
    <row r="35">
      <c r="A35" s="3" t="inlineStr"/>
    </row>
    <row r="36">
      <c r="A36" s="4" t="inlineStr">
        <is>
          <t>Rules this file follows</t>
        </is>
      </c>
    </row>
    <row r="37">
      <c r="A37" s="3" t="inlineStr">
        <is>
          <t>No invented sales: every volume is a labelled scenario assumption. No credentials. Brand colours: #F0505E headers, #1E1A17 text, #FFF7EC fills; yellow = input.</t>
        </is>
      </c>
    </row>
  </sheetData>
  <pageMargins left="0.75" right="0.75" top="1" bottom="1" header="0.5" footer="0.5"/>
</worksheet>
</file>

<file path=xl/worksheets/sheet2.xml><?xml version="1.0" encoding="utf-8"?>
<worksheet xmlns="http://schemas.openxmlformats.org/spreadsheetml/2006/main">
  <sheetPr>
    <tabColor rgb="00F0505E"/>
    <outlinePr summaryBelow="1" summaryRight="1"/>
    <pageSetUpPr/>
  </sheetPr>
  <dimension ref="A1:F107"/>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4" customWidth="1" min="2" max="2"/>
    <col width="14" customWidth="1" min="3" max="3"/>
    <col width="13" customWidth="1" min="4" max="4"/>
    <col width="12" customWidth="1" min="5" max="5"/>
    <col width="92" customWidth="1" min="6" max="6"/>
  </cols>
  <sheetData>
    <row r="1">
      <c r="A1" s="5" t="inlineStr">
        <is>
          <t>Picked: model inputs</t>
        </is>
      </c>
    </row>
    <row r="2">
      <c r="A2" s="6" t="inlineStr">
        <is>
          <t>Yellow cells are inputs. Change them; every other sheet recalculates. Nothing here is an actual sale: demand rows are scenario assumptions the owner sets.</t>
        </is>
      </c>
    </row>
    <row r="4">
      <c r="A4" s="7" t="inlineStr">
        <is>
          <t>1. Model settings</t>
        </is>
      </c>
      <c r="B4" s="8" t="n"/>
      <c r="C4" s="8" t="n"/>
      <c r="D4" s="8" t="n"/>
      <c r="E4" s="8" t="n"/>
      <c r="F4" s="8" t="n"/>
    </row>
    <row r="5">
      <c r="A5" s="9" t="inlineStr">
        <is>
          <t>Input</t>
        </is>
      </c>
      <c r="B5" s="9" t="inlineStr">
        <is>
          <t>Value</t>
        </is>
      </c>
      <c r="C5" s="9" t="inlineStr"/>
      <c r="D5" s="9" t="inlineStr"/>
      <c r="E5" s="9" t="inlineStr">
        <is>
          <t>Unit</t>
        </is>
      </c>
      <c r="F5" s="9" t="inlineStr">
        <is>
          <t>Source / note</t>
        </is>
      </c>
    </row>
    <row r="6">
      <c r="A6" s="10" t="inlineStr">
        <is>
          <t>Run-size mode (Lean = 144-unit runs, Standard = 1,000-unit runs)</t>
        </is>
      </c>
      <c r="B6" s="11" t="inlineStr">
        <is>
          <t>Lean</t>
        </is>
      </c>
      <c r="E6" s="10" t="inlineStr">
        <is>
          <t>list</t>
        </is>
      </c>
      <c r="F6" s="12" t="inlineStr">
        <is>
          <t>TOGGLE. Lean follows EXPANSION.md / TIMELINE.md lean path (Pure Private Label 144-unit MOQ). Standard follows LAUNCH_GUIDE.md 1,000-pouch budget.</t>
        </is>
      </c>
    </row>
    <row r="7">
      <c r="A7" s="10" t="inlineStr">
        <is>
          <t>Demand case shown on Monthly Cash Flow</t>
        </is>
      </c>
      <c r="B7" s="11" t="inlineStr">
        <is>
          <t>Base</t>
        </is>
      </c>
      <c r="E7" s="10" t="inlineStr">
        <is>
          <t>list</t>
        </is>
      </c>
      <c r="F7" s="12" t="inlineStr">
        <is>
          <t>TOGGLE: Low / Base / High. Scales every demand row below by the multiplier for that case.</t>
        </is>
      </c>
    </row>
    <row r="8">
      <c r="A8" s="10" t="inlineStr">
        <is>
          <t>Demand multiplier: Low case</t>
        </is>
      </c>
      <c r="B8" s="13" t="n">
        <v>0.5</v>
      </c>
      <c r="E8" s="10" t="inlineStr">
        <is>
          <t>x</t>
        </is>
      </c>
      <c r="F8" s="12" t="inlineStr">
        <is>
          <t>SCENARIO ASSUMPTION. Owner sets.</t>
        </is>
      </c>
    </row>
    <row r="9">
      <c r="A9" s="10" t="inlineStr">
        <is>
          <t>Demand multiplier: Base case</t>
        </is>
      </c>
      <c r="B9" s="13" t="n">
        <v>1</v>
      </c>
      <c r="E9" s="10" t="inlineStr">
        <is>
          <t>x</t>
        </is>
      </c>
      <c r="F9" s="12" t="inlineStr">
        <is>
          <t>SCENARIO ASSUMPTION. 1.0 = the demand table exactly as entered.</t>
        </is>
      </c>
    </row>
    <row r="10">
      <c r="A10" s="10" t="inlineStr">
        <is>
          <t>Demand multiplier: High case</t>
        </is>
      </c>
      <c r="B10" s="13" t="n">
        <v>1.5</v>
      </c>
      <c r="E10" s="10" t="inlineStr">
        <is>
          <t>x</t>
        </is>
      </c>
      <c r="F10" s="12" t="inlineStr">
        <is>
          <t>SCENARIO ASSUMPTION. Owner sets.</t>
        </is>
      </c>
    </row>
    <row r="11">
      <c r="A11" s="10" t="inlineStr">
        <is>
          <t>Starting cash on 1 Oct 2026</t>
        </is>
      </c>
      <c r="B11" s="14" t="n">
        <v>25000</v>
      </c>
      <c r="E11" s="10" t="inlineStr">
        <is>
          <t>$</t>
        </is>
      </c>
      <c r="F11" s="12" t="inlineStr">
        <is>
          <t>OWNER INPUT. TIMELINE.md: lean path about $15k-25k through May 2027; standard path about $65k-95k. Set to the cash you will actually put in.</t>
        </is>
      </c>
    </row>
    <row r="12">
      <c r="A12" s="10" t="inlineStr">
        <is>
          <t>First month of the model</t>
        </is>
      </c>
      <c r="B12" s="15" t="n">
        <v>46296</v>
      </c>
      <c r="E12" s="10" t="inlineStr">
        <is>
          <t>date</t>
        </is>
      </c>
      <c r="F12" s="12" t="inlineStr">
        <is>
          <t>Structural. Model runs 15 months from here (Oct 2026 to Dec 2027). Use the first day of a month.</t>
        </is>
      </c>
    </row>
    <row r="14">
      <c r="A14" s="7" t="inlineStr">
        <is>
          <t>2. Prices</t>
        </is>
      </c>
      <c r="B14" s="8" t="n"/>
      <c r="C14" s="8" t="n"/>
      <c r="D14" s="8" t="n"/>
      <c r="E14" s="8" t="n"/>
      <c r="F14" s="8" t="n"/>
    </row>
    <row r="15">
      <c r="A15" s="9" t="inlineStr">
        <is>
          <t>Input</t>
        </is>
      </c>
      <c r="B15" s="9" t="inlineStr">
        <is>
          <t>Value</t>
        </is>
      </c>
      <c r="C15" s="9" t="inlineStr"/>
      <c r="D15" s="9" t="inlineStr"/>
      <c r="E15" s="9" t="inlineStr">
        <is>
          <t>Unit</t>
        </is>
      </c>
      <c r="F15" s="9" t="inlineStr">
        <is>
          <t>Source / note</t>
        </is>
      </c>
    </row>
    <row r="16">
      <c r="A16" s="10" t="inlineStr">
        <is>
          <t>Pouch, 20 servings, one-off price</t>
        </is>
      </c>
      <c r="B16" s="16" t="n">
        <v>54.99</v>
      </c>
      <c r="E16" s="10" t="inlineStr">
        <is>
          <t>$/pouch</t>
        </is>
      </c>
      <c r="F16" s="12" t="inlineStr">
        <is>
          <t>STRATEGY.md range and price table.</t>
        </is>
      </c>
    </row>
    <row r="17">
      <c r="A17" s="10" t="inlineStr">
        <is>
          <t>Subscription discount</t>
        </is>
      </c>
      <c r="B17" s="17" t="n">
        <v>0.15</v>
      </c>
      <c r="E17" s="10" t="inlineStr">
        <is>
          <t>%</t>
        </is>
      </c>
      <c r="F17" s="12" t="inlineStr">
        <is>
          <t>STRATEGY.md: pouch on subscription 15% off ($46.74).</t>
        </is>
      </c>
    </row>
    <row r="18">
      <c r="A18" s="10" t="inlineStr">
        <is>
          <t>Single stick, suggested retail at a counter</t>
        </is>
      </c>
      <c r="B18" s="16" t="n">
        <v>3.99</v>
      </c>
      <c r="E18" s="10" t="inlineStr">
        <is>
          <t>$/stick</t>
        </is>
      </c>
      <c r="F18" s="12" t="inlineStr">
        <is>
          <t>STRATEGY.md. This is the store's shelf price; Picked receives the wholesale stick price. Used for the retailer-margin check.</t>
        </is>
      </c>
    </row>
    <row r="19">
      <c r="A19" s="10" t="inlineStr">
        <is>
          <t>Stick pack box of 10, own website</t>
        </is>
      </c>
      <c r="B19" s="16" t="n">
        <v>34.99</v>
      </c>
      <c r="E19" s="10" t="inlineStr">
        <is>
          <t>$/box</t>
        </is>
      </c>
      <c r="F19" s="12" t="inlineStr">
        <is>
          <t>STRATEGY.md.</t>
        </is>
      </c>
    </row>
    <row r="20">
      <c r="A20" s="10" t="inlineStr">
        <is>
          <t>Wholesale price per pouch (direct to store)</t>
        </is>
      </c>
      <c r="B20" s="16" t="n">
        <v>27.5</v>
      </c>
      <c r="E20" s="10" t="inlineStr">
        <is>
          <t>$/pouch</t>
        </is>
      </c>
      <c r="F20" s="12" t="inlineStr">
        <is>
          <t>STRATEGY.md proposed store terms. A proposal until the owner confirms.</t>
        </is>
      </c>
    </row>
    <row r="21">
      <c r="A21" s="10" t="inlineStr">
        <is>
          <t>Wholesale price per stick</t>
        </is>
      </c>
      <c r="B21" s="16" t="n">
        <v>2</v>
      </c>
      <c r="E21" s="10" t="inlineStr">
        <is>
          <t>$/stick</t>
        </is>
      </c>
      <c r="F21" s="12" t="inlineStr">
        <is>
          <t>STRATEGY.md proposed store terms (keystone against $3.99 SRP). A proposal until the owner confirms.</t>
        </is>
      </c>
    </row>
    <row r="22">
      <c r="A22" s="10" t="inlineStr">
        <is>
          <t>Distributor discount off wholesale</t>
        </is>
      </c>
      <c r="B22" s="17" t="n">
        <v>0.25</v>
      </c>
      <c r="E22" s="10" t="inlineStr">
        <is>
          <t>%</t>
        </is>
      </c>
      <c r="F22" s="12" t="inlineStr">
        <is>
          <t>STRATEGY.md / LAUNCH_GUIDE.md: about 25% distributor margin. Unit Economics only; distributors are not in the monthly plan.</t>
        </is>
      </c>
    </row>
    <row r="23">
      <c r="A23" s="10" t="inlineStr">
        <is>
          <t>Founding offer: discount on waitlist first order</t>
        </is>
      </c>
      <c r="B23" s="17" t="n">
        <v>0.2</v>
      </c>
      <c r="E23" s="10" t="inlineStr">
        <is>
          <t>%</t>
        </is>
      </c>
      <c r="F23" s="12" t="inlineStr">
        <is>
          <t>STRATEGY.md founding offer: 20% off the first pouch plus a free shaker. Applied on top of normal pricing (conservative).</t>
        </is>
      </c>
    </row>
    <row r="24">
      <c r="A24" s="10" t="inlineStr">
        <is>
          <t>Founding offer: cost of one free shaker</t>
        </is>
      </c>
      <c r="B24" s="16" t="n">
        <v>4</v>
      </c>
      <c r="E24" s="10" t="inlineStr">
        <is>
          <t>$/shaker</t>
        </is>
      </c>
      <c r="F24" s="12" t="inlineStr">
        <is>
          <t>ESTIMATE, no quote. Replace with the shaker supplier's quote.</t>
        </is>
      </c>
    </row>
    <row r="26">
      <c r="A26" s="7" t="inlineStr">
        <is>
          <t>3. Unit costs and fees</t>
        </is>
      </c>
      <c r="B26" s="8" t="n"/>
      <c r="C26" s="8" t="n"/>
      <c r="D26" s="8" t="n"/>
      <c r="E26" s="8" t="n"/>
      <c r="F26" s="8" t="n"/>
    </row>
    <row r="27">
      <c r="A27" s="9" t="inlineStr">
        <is>
          <t>Input</t>
        </is>
      </c>
      <c r="B27" s="9" t="inlineStr">
        <is>
          <t>Value</t>
        </is>
      </c>
      <c r="C27" s="9" t="inlineStr"/>
      <c r="D27" s="9" t="inlineStr"/>
      <c r="E27" s="9" t="inlineStr">
        <is>
          <t>Unit</t>
        </is>
      </c>
      <c r="F27" s="9" t="inlineStr">
        <is>
          <t>Source / note</t>
        </is>
      </c>
    </row>
    <row r="28">
      <c r="A28" s="10" t="inlineStr">
        <is>
          <t>Pouch landed cost of goods, Standard run (1,000)</t>
        </is>
      </c>
      <c r="B28" s="16" t="n">
        <v>23</v>
      </c>
      <c r="E28" s="10" t="inlineStr">
        <is>
          <t>$/pouch</t>
        </is>
      </c>
      <c r="F28" s="12" t="inlineStr">
        <is>
          <t>STRATEGY.md estimate $21-25, plan on $23. Only the whey price is sourced (USDA, about $14/lb). QUOTE PENDING: replace with manufacturer quote.</t>
        </is>
      </c>
    </row>
    <row r="29">
      <c r="A29" s="10" t="inlineStr">
        <is>
          <t>Pouch landed cost of goods, Lean run (144)</t>
        </is>
      </c>
      <c r="B29" s="16" t="n">
        <v>30</v>
      </c>
      <c r="E29" s="10" t="inlineStr">
        <is>
          <t>$/pouch</t>
        </is>
      </c>
      <c r="F29" s="12" t="inlineStr">
        <is>
          <t>ESTIMATE, small runs cost more, replace with quote (Pure Private Label 144-unit run). EXPANSION.md: 144 pouches for about $3.5k-5k.</t>
        </is>
      </c>
    </row>
    <row r="30">
      <c r="A30" s="10" t="inlineStr">
        <is>
          <t>Protein stick pack cost of goods, Standard run</t>
        </is>
      </c>
      <c r="B30" s="16" t="n">
        <v>1.3</v>
      </c>
      <c r="E30" s="10" t="inlineStr">
        <is>
          <t>$/stick</t>
        </is>
      </c>
      <c r="F30" s="12" t="inlineStr">
        <is>
          <t>LAUNCH_GUIDE.md budget: stick packs at about $1.30. ESTIMATE, quote pending.</t>
        </is>
      </c>
    </row>
    <row r="31">
      <c r="A31" s="10" t="inlineStr">
        <is>
          <t>Protein stick pack cost of goods, Lean run</t>
        </is>
      </c>
      <c r="B31" s="16" t="n">
        <v>1.3</v>
      </c>
      <c r="E31" s="10" t="inlineStr">
        <is>
          <t>$/stick</t>
        </is>
      </c>
      <c r="F31" s="12" t="inlineStr">
        <is>
          <t>ESTIMATE: no small-run quote; set equal to standard until quoted. Small runs likely cost more.</t>
        </is>
      </c>
    </row>
    <row r="32">
      <c r="A32" s="10" t="inlineStr">
        <is>
          <t>Shipping and packing per DTC order</t>
        </is>
      </c>
      <c r="B32" s="16" t="n">
        <v>8</v>
      </c>
      <c r="E32" s="10" t="inlineStr">
        <is>
          <t>$/order</t>
        </is>
      </c>
      <c r="F32" s="12" t="inlineStr">
        <is>
          <t>STRATEGY.md 'about $8'. OPERATIONS.md: postage $8-13 at the 2 lb rate (less if cubic applies) plus a $0.18-0.28 mailer.</t>
        </is>
      </c>
    </row>
    <row r="33">
      <c r="A33" s="10" t="inlineStr">
        <is>
          <t>Free shipping on DTC orders? (1 = yes, Picked absorbs; 0 = customer pays)</t>
        </is>
      </c>
      <c r="B33" s="18" t="n">
        <v>1</v>
      </c>
      <c r="E33" s="10" t="inlineStr">
        <is>
          <t>1/0</t>
        </is>
      </c>
      <c r="F33" s="12" t="inlineStr">
        <is>
          <t>ASSUMPTION matching STRATEGY.md's margin table, which deducts the full $8. OPERATIONS.md plans free shipping over $50.</t>
        </is>
      </c>
    </row>
    <row r="34">
      <c r="A34" s="10" t="inlineStr">
        <is>
          <t>Shipping charged to customer when free shipping is off</t>
        </is>
      </c>
      <c r="B34" s="16" t="n">
        <v>8</v>
      </c>
      <c r="E34" s="10" t="inlineStr">
        <is>
          <t>$/order</t>
        </is>
      </c>
      <c r="F34" s="12" t="inlineStr">
        <is>
          <t>ASSUMPTION. Only used when the free-shipping input is 0.</t>
        </is>
      </c>
    </row>
    <row r="35">
      <c r="A35" s="10" t="inlineStr">
        <is>
          <t>Card fee, percent</t>
        </is>
      </c>
      <c r="B35" s="17" t="n">
        <v>0.029</v>
      </c>
      <c r="E35" s="10" t="inlineStr">
        <is>
          <t>%</t>
        </is>
      </c>
      <c r="F35" s="12" t="inlineStr">
        <is>
          <t>OPERATIONS.md: Shopify Payments on Basic, 2.9% + 30c.</t>
        </is>
      </c>
    </row>
    <row r="36">
      <c r="A36" s="10" t="inlineStr">
        <is>
          <t>Card fee, fixed per order</t>
        </is>
      </c>
      <c r="B36" s="16" t="n">
        <v>0.3</v>
      </c>
      <c r="E36" s="10" t="inlineStr">
        <is>
          <t>$/order</t>
        </is>
      </c>
      <c r="F36" s="12" t="inlineStr">
        <is>
          <t>OPERATIONS.md.</t>
        </is>
      </c>
    </row>
    <row r="37">
      <c r="A37" s="10" t="inlineStr">
        <is>
          <t>Freight to a store, per pouch</t>
        </is>
      </c>
      <c r="B37" s="16" t="n">
        <v>1</v>
      </c>
      <c r="E37" s="10" t="inlineStr">
        <is>
          <t>$/pouch</t>
        </is>
      </c>
      <c r="F37" s="12" t="inlineStr">
        <is>
          <t>STRATEGY.md: about $1 freight.</t>
        </is>
      </c>
    </row>
    <row r="38">
      <c r="A38" s="10" t="inlineStr">
        <is>
          <t>Freight to a store, per stick</t>
        </is>
      </c>
      <c r="B38" s="16" t="n">
        <v>0.1</v>
      </c>
      <c r="E38" s="10" t="inlineStr">
        <is>
          <t>$/stick</t>
        </is>
      </c>
      <c r="F38" s="12" t="inlineStr">
        <is>
          <t>ESTIMATE, no source. Replace with real shipping cost per counter box.</t>
        </is>
      </c>
    </row>
    <row r="39">
      <c r="A39" s="10" t="inlineStr">
        <is>
          <t>Freight to a distributor, per pouch</t>
        </is>
      </c>
      <c r="B39" s="16" t="n">
        <v>0</v>
      </c>
      <c r="E39" s="10" t="inlineStr">
        <is>
          <t>$/pouch</t>
        </is>
      </c>
      <c r="F39" s="12" t="inlineStr">
        <is>
          <t>STRATEGY.md distributor row shows none.</t>
        </is>
      </c>
    </row>
    <row r="41">
      <c r="A41" s="7" t="inlineStr">
        <is>
          <t>4. Customers, retention and acquisition (scenario assumptions)</t>
        </is>
      </c>
      <c r="B41" s="8" t="n"/>
      <c r="C41" s="8" t="n"/>
      <c r="D41" s="8" t="n"/>
      <c r="E41" s="8" t="n"/>
      <c r="F41" s="8" t="n"/>
    </row>
    <row r="42">
      <c r="A42" s="9" t="inlineStr">
        <is>
          <t>Input</t>
        </is>
      </c>
      <c r="B42" s="9" t="inlineStr">
        <is>
          <t>Value</t>
        </is>
      </c>
      <c r="C42" s="9" t="inlineStr"/>
      <c r="D42" s="9" t="inlineStr"/>
      <c r="E42" s="9" t="inlineStr">
        <is>
          <t>Unit</t>
        </is>
      </c>
      <c r="F42" s="9" t="inlineStr">
        <is>
          <t>Source / note</t>
        </is>
      </c>
    </row>
    <row r="43">
      <c r="A43" s="10" t="inlineStr">
        <is>
          <t>Share of new DTC customers who subscribe</t>
        </is>
      </c>
      <c r="B43" s="17" t="n">
        <v>0.25</v>
      </c>
      <c r="E43" s="10" t="inlineStr">
        <is>
          <t>%</t>
        </is>
      </c>
      <c r="F43" s="12" t="inlineStr">
        <is>
          <t>SCENARIO ASSUMPTION, conservative. Replace with the Shopify subscription share once orders exist.</t>
        </is>
      </c>
    </row>
    <row r="44">
      <c r="A44" s="10" t="inlineStr">
        <is>
          <t>Monthly churn of subscribers</t>
        </is>
      </c>
      <c r="B44" s="17" t="n">
        <v>0.12</v>
      </c>
      <c r="E44" s="10" t="inlineStr">
        <is>
          <t>%/month</t>
        </is>
      </c>
      <c r="F44" s="12" t="inlineStr">
        <is>
          <t>SCENARIO ASSUMPTION. Subscribers receive one pouch a month.</t>
        </is>
      </c>
    </row>
    <row r="45">
      <c r="A45" s="10" t="inlineStr">
        <is>
          <t>Repeat rate: one-off orders followed by another order next month</t>
        </is>
      </c>
      <c r="B45" s="17" t="n">
        <v>0.2</v>
      </c>
      <c r="E45" s="10" t="inlineStr">
        <is>
          <t>%</t>
        </is>
      </c>
      <c r="F45" s="12" t="inlineStr">
        <is>
          <t>SCENARIO ASSUMPTION. EXPANSION.md gate is 25% reordering within 60 days; default is set below the gate.</t>
        </is>
      </c>
    </row>
    <row r="46">
      <c r="A46" s="10" t="inlineStr">
        <is>
          <t>Pouches per DTC pouch order</t>
        </is>
      </c>
      <c r="B46" s="19" t="n">
        <v>1</v>
      </c>
      <c r="E46" s="10" t="inlineStr">
        <is>
          <t>pouches</t>
        </is>
      </c>
      <c r="F46" s="12" t="inlineStr">
        <is>
          <t>ASSUMPTION.</t>
        </is>
      </c>
    </row>
    <row r="47">
      <c r="A47" s="10" t="inlineStr">
        <is>
          <t>DTC stick-box orders per DTC pouch order</t>
        </is>
      </c>
      <c r="B47" s="17" t="n">
        <v>0.1</v>
      </c>
      <c r="E47" s="10" t="inlineStr">
        <is>
          <t>%</t>
        </is>
      </c>
      <c r="F47" s="12" t="inlineStr">
        <is>
          <t>SCENARIO ASSUMPTION.</t>
        </is>
      </c>
    </row>
    <row r="48">
      <c r="A48" s="10" t="inlineStr">
        <is>
          <t>Sticks per box</t>
        </is>
      </c>
      <c r="B48" s="18" t="n">
        <v>10</v>
      </c>
      <c r="E48" s="10" t="inlineStr">
        <is>
          <t>sticks</t>
        </is>
      </c>
      <c r="F48" s="12" t="inlineStr">
        <is>
          <t>STRATEGY.md.</t>
        </is>
      </c>
    </row>
    <row r="49">
      <c r="A49" s="10" t="inlineStr">
        <is>
          <t>CAC: paid acquisition cost per first order</t>
        </is>
      </c>
      <c r="B49" s="16" t="n">
        <v>25</v>
      </c>
      <c r="E49" s="10" t="inlineStr">
        <is>
          <t>$/customer</t>
        </is>
      </c>
      <c r="F49" s="12" t="inlineStr">
        <is>
          <t>ASSUMPTION (owner brief default $25). STRATEGY.md: keep paid cost per first order under about $22 until subscriptions prove out.</t>
        </is>
      </c>
    </row>
    <row r="50">
      <c r="A50" s="10" t="inlineStr">
        <is>
          <t>Waitlist size when pre-orders open</t>
        </is>
      </c>
      <c r="B50" s="20" t="n">
        <v>300</v>
      </c>
      <c r="E50" s="10" t="inlineStr">
        <is>
          <t>people</t>
        </is>
      </c>
      <c r="F50" s="12" t="inlineStr">
        <is>
          <t>SCENARIO ASSUMPTION. Replace with actual Klaviyo signups (STRATEGY.md weekly number #1).</t>
        </is>
      </c>
    </row>
    <row r="51">
      <c r="A51" s="10" t="inlineStr">
        <is>
          <t>Waitlist conversion to a first order</t>
        </is>
      </c>
      <c r="B51" s="17" t="n">
        <v>0.1</v>
      </c>
      <c r="E51" s="10" t="inlineStr">
        <is>
          <t>%</t>
        </is>
      </c>
      <c r="F51" s="12" t="inlineStr">
        <is>
          <t>SCENARIO ASSUMPTION. Orders are booked in the first ship month (conservative: pre-order cash may arrive earlier).</t>
        </is>
      </c>
    </row>
    <row r="52">
      <c r="A52" s="10" t="inlineStr">
        <is>
          <t>Monthly churn of store accounts</t>
        </is>
      </c>
      <c r="B52" s="17" t="n">
        <v>0.05</v>
      </c>
      <c r="E52" s="10" t="inlineStr">
        <is>
          <t>%/month</t>
        </is>
      </c>
      <c r="F52" s="12" t="inlineStr">
        <is>
          <t>SCENARIO ASSUMPTION.</t>
        </is>
      </c>
    </row>
    <row r="53">
      <c r="A53" s="10" t="inlineStr">
        <is>
          <t>Pouches sold per active store per month</t>
        </is>
      </c>
      <c r="B53" s="21" t="n">
        <v>2</v>
      </c>
      <c r="E53" s="10" t="inlineStr">
        <is>
          <t>pouches</t>
        </is>
      </c>
      <c r="F53" s="12" t="inlineStr">
        <is>
          <t>SCENARIO ASSUMPTION.</t>
        </is>
      </c>
    </row>
    <row r="54">
      <c r="A54" s="10" t="inlineStr">
        <is>
          <t>Sticks sold per active store per month</t>
        </is>
      </c>
      <c r="B54" s="21" t="n">
        <v>20</v>
      </c>
      <c r="E54" s="10" t="inlineStr">
        <is>
          <t>sticks</t>
        </is>
      </c>
      <c r="F54" s="12" t="inlineStr">
        <is>
          <t>SCENARIO ASSUMPTION.</t>
        </is>
      </c>
    </row>
    <row r="55">
      <c r="A55" s="10" t="inlineStr">
        <is>
          <t>Stores pay 30 days after delivery? (1 = yes, 0 = on delivery)</t>
        </is>
      </c>
      <c r="B55" s="18" t="n">
        <v>1</v>
      </c>
      <c r="E55" s="10" t="inlineStr">
        <is>
          <t>1/0</t>
        </is>
      </c>
      <c r="F55" s="12" t="inlineStr">
        <is>
          <t>STRATEGY.md proposed terms: first counter box sold or returned within 30 days.</t>
        </is>
      </c>
    </row>
    <row r="56">
      <c r="A56" s="10" t="inlineStr">
        <is>
          <t>Sampling and content budget per month (non-paid marketing)</t>
        </is>
      </c>
      <c r="B56" s="14" t="n">
        <v>150</v>
      </c>
      <c r="E56" s="10" t="inlineStr">
        <is>
          <t>$/month</t>
        </is>
      </c>
      <c r="F56" s="12" t="inlineStr">
        <is>
          <t>OWNER BUDGET, not a quote: run-club cups, creator seeding (LAUNCH_GUIDE.md). Set to what you will spend.</t>
        </is>
      </c>
    </row>
    <row r="57">
      <c r="A57" s="10" t="inlineStr">
        <is>
          <t>Sampling budget starts</t>
        </is>
      </c>
      <c r="B57" s="15" t="n">
        <v>46388</v>
      </c>
      <c r="E57" s="10" t="inlineStr">
        <is>
          <t>date</t>
        </is>
      </c>
      <c r="F57" s="12" t="inlineStr">
        <is>
          <t>LAUNCH_GUIDE.md: sample in person from pre-orders on.</t>
        </is>
      </c>
    </row>
    <row r="59">
      <c r="A59" s="7" t="inlineStr">
        <is>
          <t>5. Production runs and inventory</t>
        </is>
      </c>
      <c r="B59" s="8" t="n"/>
      <c r="C59" s="8" t="n"/>
      <c r="D59" s="8" t="n"/>
      <c r="E59" s="8" t="n"/>
      <c r="F59" s="8" t="n"/>
    </row>
    <row r="60">
      <c r="A60" s="9" t="inlineStr">
        <is>
          <t>Input</t>
        </is>
      </c>
      <c r="B60" s="9" t="inlineStr">
        <is>
          <t>Value</t>
        </is>
      </c>
      <c r="C60" s="9" t="inlineStr"/>
      <c r="D60" s="9" t="inlineStr"/>
      <c r="E60" s="9" t="inlineStr">
        <is>
          <t>Unit</t>
        </is>
      </c>
      <c r="F60" s="9" t="inlineStr">
        <is>
          <t>Source / note</t>
        </is>
      </c>
    </row>
    <row r="61">
      <c r="A61" s="10" t="inlineStr">
        <is>
          <t>Pouch run size, Lean</t>
        </is>
      </c>
      <c r="B61" s="20" t="n">
        <v>144</v>
      </c>
      <c r="E61" s="10" t="inlineStr">
        <is>
          <t>pouches</t>
        </is>
      </c>
      <c r="F61" s="12" t="inlineStr">
        <is>
          <t>EXPANSION.md: Pure Private Label minimum 144 units.</t>
        </is>
      </c>
    </row>
    <row r="62">
      <c r="A62" s="10" t="inlineStr">
        <is>
          <t>Pouch run size, Standard</t>
        </is>
      </c>
      <c r="B62" s="20" t="n">
        <v>1000</v>
      </c>
      <c r="E62" s="10" t="inlineStr">
        <is>
          <t>pouches</t>
        </is>
      </c>
      <c r="F62" s="12" t="inlineStr">
        <is>
          <t>LAUNCH_GUIDE.md: first run 1,000 pouches.</t>
        </is>
      </c>
    </row>
    <row r="63">
      <c r="A63" s="10" t="inlineStr">
        <is>
          <t>Protein stick run size, Lean</t>
        </is>
      </c>
      <c r="B63" s="20" t="n">
        <v>1440</v>
      </c>
      <c r="E63" s="10" t="inlineStr">
        <is>
          <t>sticks</t>
        </is>
      </c>
      <c r="F63" s="12" t="inlineStr">
        <is>
          <t>ASSUMPTION: the 144-unit minimum read as 144 boxes of 10. Confirm with the quote.</t>
        </is>
      </c>
    </row>
    <row r="64">
      <c r="A64" s="10" t="inlineStr">
        <is>
          <t>Protein stick run size, Standard</t>
        </is>
      </c>
      <c r="B64" s="20" t="n">
        <v>3000</v>
      </c>
      <c r="E64" s="10" t="inlineStr">
        <is>
          <t>sticks</t>
        </is>
      </c>
      <c r="F64" s="12" t="inlineStr">
        <is>
          <t>LAUNCH_GUIDE.md: 3,000 stick packs.</t>
        </is>
      </c>
    </row>
    <row r="65">
      <c r="A65" s="10" t="inlineStr">
        <is>
          <t>Reorder point: stock on hand + on order, in months of current demand</t>
        </is>
      </c>
      <c r="B65" s="19" t="n">
        <v>3.5</v>
      </c>
      <c r="E65" s="10" t="inlineStr">
        <is>
          <t>months</t>
        </is>
      </c>
      <c r="F65" s="12" t="inlineStr">
        <is>
          <t>OPERATIONS.md: reorder at 6 weeks of sales plus the manufacturer's lead time (8-10 weeks), about 3.5 months. Reorders are whole runs.</t>
        </is>
      </c>
    </row>
    <row r="66">
      <c r="A66" s="10" t="inlineStr">
        <is>
          <t>Reorder lead time (whole months, 1 to 3)</t>
        </is>
      </c>
      <c r="B66" s="18" t="n">
        <v>2</v>
      </c>
      <c r="E66" s="10" t="inlineStr">
        <is>
          <t>months</t>
        </is>
      </c>
      <c r="F66" s="12" t="inlineStr">
        <is>
          <t>EXPANSION.md: about 8-10 weeks from approved label to finished goods. Reorders are paid in full when placed (conservative; a deposit/balance split would be later).</t>
        </is>
      </c>
    </row>
    <row r="67">
      <c r="A67" s="10" t="inlineStr">
        <is>
          <t>First run purchase order and deposit</t>
        </is>
      </c>
      <c r="B67" s="15" t="n">
        <v>46374</v>
      </c>
      <c r="E67" s="10" t="inlineStr">
        <is>
          <t>date</t>
        </is>
      </c>
      <c r="F67" s="12" t="inlineStr">
        <is>
          <t>TIMELINE.md: purchase order and deposit Dec 18, 2026.</t>
        </is>
      </c>
    </row>
    <row r="68">
      <c r="A68" s="10" t="inlineStr">
        <is>
          <t>Deposit paid with the purchase order</t>
        </is>
      </c>
      <c r="B68" s="17" t="n">
        <v>0.5</v>
      </c>
      <c r="E68" s="10" t="inlineStr">
        <is>
          <t>%</t>
        </is>
      </c>
      <c r="F68" s="12" t="inlineStr">
        <is>
          <t>ASSUMPTION. Confirm the manufacturer's payment terms.</t>
        </is>
      </c>
    </row>
    <row r="69">
      <c r="A69" s="10" t="inlineStr">
        <is>
          <t>First run balance paid</t>
        </is>
      </c>
      <c r="B69" s="15" t="n">
        <v>46444</v>
      </c>
      <c r="E69" s="10" t="inlineStr">
        <is>
          <t>date</t>
        </is>
      </c>
      <c r="F69" s="12" t="inlineStr">
        <is>
          <t>ASSUMPTION: balance due on completion, before first ship.</t>
        </is>
      </c>
    </row>
    <row r="70">
      <c r="A70" s="10" t="inlineStr">
        <is>
          <t>First Strawberry ships (sales start)</t>
        </is>
      </c>
      <c r="B70" s="15" t="n">
        <v>46447</v>
      </c>
      <c r="E70" s="10" t="inlineStr">
        <is>
          <t>date</t>
        </is>
      </c>
      <c r="F70" s="12" t="inlineStr">
        <is>
          <t>TIMELINE.md: late Feb to mid Mar 2027. Demand before this month is zero.</t>
        </is>
      </c>
    </row>
    <row r="71">
      <c r="A71" s="10" t="inlineStr">
        <is>
          <t>Sample fee credited against first order, Lean</t>
        </is>
      </c>
      <c r="B71" s="14" t="n">
        <v>500</v>
      </c>
      <c r="E71" s="10" t="inlineStr">
        <is>
          <t>$</t>
        </is>
      </c>
      <c r="F71" s="12" t="inlineStr">
        <is>
          <t>EXPANSION.md: $500 of the $695 Pure Private Label sample fee is credited to the first order.</t>
        </is>
      </c>
    </row>
    <row r="72">
      <c r="A72" s="10" t="inlineStr">
        <is>
          <t>Sample fee credited against first order, Standard</t>
        </is>
      </c>
      <c r="B72" s="14" t="n">
        <v>0</v>
      </c>
      <c r="E72" s="10" t="inlineStr">
        <is>
          <t>$</t>
        </is>
      </c>
      <c r="F72" s="12" t="inlineStr">
        <is>
          <t>No credit assumed for other manufacturers.</t>
        </is>
      </c>
    </row>
    <row r="73">
      <c r="A73" s="10" t="inlineStr">
        <is>
          <t>Launch a second protein flavour? (1 = yes)</t>
        </is>
      </c>
      <c r="B73" s="18" t="n">
        <v>1</v>
      </c>
      <c r="E73" s="10" t="inlineStr">
        <is>
          <t>1/0</t>
        </is>
      </c>
      <c r="F73" s="12" t="inlineStr">
        <is>
          <t>TIMELINE.md: Mango or Raspberry Lemon, Apr-May 2027. Gate (Strawberry 50% sold) is the owner's call.</t>
        </is>
      </c>
    </row>
    <row r="74">
      <c r="A74" s="10" t="inlineStr">
        <is>
          <t>Second flavour first run received and paid</t>
        </is>
      </c>
      <c r="B74" s="15" t="n">
        <v>46508</v>
      </c>
      <c r="E74" s="10" t="inlineStr">
        <is>
          <t>date</t>
        </is>
      </c>
      <c r="F74" s="12" t="inlineStr">
        <is>
          <t>TIMELINE.md: Apr to May 2027. Adds one run of pouches to stock; demand rows cover all flavours together. Paid when received (a deposit may fall earlier).</t>
        </is>
      </c>
    </row>
    <row r="75">
      <c r="A75" s="10" t="inlineStr">
        <is>
          <t>Develop Real Fruit Hydration sticks? (1 = yes)</t>
        </is>
      </c>
      <c r="B75" s="18" t="n">
        <v>1</v>
      </c>
      <c r="E75" s="10" t="inlineStr">
        <is>
          <t>1/0</t>
        </is>
      </c>
      <c r="F75" s="12" t="inlineStr">
        <is>
          <t>TIMELINE.md: launch May 2027. Cost only: hydration revenue is NOT modelled (no price or volume set yet).</t>
        </is>
      </c>
    </row>
    <row r="77">
      <c r="A77" s="7" t="inlineStr">
        <is>
          <t>6. Monthly fixed costs</t>
        </is>
      </c>
      <c r="B77" s="8" t="n"/>
      <c r="C77" s="8" t="n"/>
      <c r="D77" s="8" t="n"/>
      <c r="E77" s="8" t="n"/>
      <c r="F77" s="8" t="n"/>
    </row>
    <row r="78">
      <c r="A78" s="9" t="inlineStr">
        <is>
          <t>Cost</t>
        </is>
      </c>
      <c r="B78" s="9" t="inlineStr">
        <is>
          <t>Per month</t>
        </is>
      </c>
      <c r="C78" s="9" t="inlineStr"/>
      <c r="D78" s="9" t="inlineStr">
        <is>
          <t>Starts</t>
        </is>
      </c>
      <c r="E78" s="9" t="inlineStr">
        <is>
          <t>Unit</t>
        </is>
      </c>
      <c r="F78" s="9" t="inlineStr">
        <is>
          <t>Source / note</t>
        </is>
      </c>
    </row>
    <row r="79">
      <c r="A79" s="10" t="inlineStr">
        <is>
          <t>Shopify Basic</t>
        </is>
      </c>
      <c r="B79" s="16" t="n">
        <v>39</v>
      </c>
      <c r="D79" s="15" t="n">
        <v>46307</v>
      </c>
      <c r="E79" s="10" t="inlineStr">
        <is>
          <t>$/month</t>
        </is>
      </c>
      <c r="F79" s="12" t="inlineStr">
        <is>
          <t>OPERATIONS.md: $39/month ($29 billed yearly). TIMELINE.md: store setup from Oct 12, 2026.</t>
        </is>
      </c>
    </row>
    <row r="80">
      <c r="A80" s="10" t="inlineStr">
        <is>
          <t>Klaviyo email</t>
        </is>
      </c>
      <c r="B80" s="16" t="n">
        <v>20</v>
      </c>
      <c r="D80" s="15" t="n">
        <v>46388</v>
      </c>
      <c r="E80" s="10" t="inlineStr">
        <is>
          <t>$/month</t>
        </is>
      </c>
      <c r="F80" s="12" t="inlineStr">
        <is>
          <t>ESTIMATE. OPERATIONS.md: free to 250 profiles, about $100 at 5,000. Assumes a small paid tier once the waitlist passes 250; check Klaviyo's page.</t>
        </is>
      </c>
    </row>
    <row r="81">
      <c r="A81" s="10" t="inlineStr">
        <is>
          <t>Product liability insurance</t>
        </is>
      </c>
      <c r="B81" s="16" t="n">
        <v>250</v>
      </c>
      <c r="D81" s="15" t="n">
        <v>46328</v>
      </c>
      <c r="E81" s="10" t="inlineStr">
        <is>
          <t>$/month</t>
        </is>
      </c>
      <c r="F81" s="12" t="inlineStr">
        <is>
          <t>Owner brief $250/month. LAUNCH_GUIDE.md: $1,500-3,000 a year; TIMELINE.md: in force from Nov 2, 2026. QUOTE PENDING.</t>
        </is>
      </c>
    </row>
    <row r="82">
      <c r="A82" s="10" t="inlineStr">
        <is>
          <t>Other software (SMS credits, apps)</t>
        </is>
      </c>
      <c r="B82" s="16" t="n">
        <v>15</v>
      </c>
      <c r="D82" s="15" t="n">
        <v>46388</v>
      </c>
      <c r="E82" s="10" t="inlineStr">
        <is>
          <t>$/month</t>
        </is>
      </c>
      <c r="F82" s="12" t="inlineStr">
        <is>
          <t>OPERATIONS.md: Klaviyo SMS from $15. Reviews, Flow, Inbox, Pirate Ship, Wave are free.</t>
        </is>
      </c>
    </row>
    <row r="83">
      <c r="A83" s="10" t="inlineStr">
        <is>
          <t>Bookkeeping</t>
        </is>
      </c>
      <c r="B83" s="16" t="n">
        <v>200</v>
      </c>
      <c r="D83" s="15" t="n">
        <v>46447</v>
      </c>
      <c r="E83" s="10" t="inlineStr">
        <is>
          <t>$/month</t>
        </is>
      </c>
      <c r="F83" s="12" t="inlineStr">
        <is>
          <t>OPERATIONS.md: a bookkeeper costs about $200-600/month. Set 0 if you keep Wave yourself.</t>
        </is>
      </c>
    </row>
    <row r="84">
      <c r="A84" s="10" t="inlineStr">
        <is>
          <t>Amazon Professional plan</t>
        </is>
      </c>
      <c r="B84" s="16" t="n">
        <v>0</v>
      </c>
      <c r="D84" s="15" t="n">
        <v>46539</v>
      </c>
      <c r="E84" s="10" t="inlineStr">
        <is>
          <t>$/month</t>
        </is>
      </c>
      <c r="F84" s="12" t="inlineStr">
        <is>
          <t>OPERATIONS.md: $39.99/month. Default 0 because Amazon sales are not modelled; enter it when you list.</t>
        </is>
      </c>
    </row>
    <row r="86">
      <c r="A86" s="7" t="inlineStr">
        <is>
          <t>7. One-time launch costs (amount used depends on the run-size mode)</t>
        </is>
      </c>
      <c r="B86" s="8" t="n"/>
      <c r="C86" s="8" t="n"/>
      <c r="D86" s="8" t="n"/>
      <c r="E86" s="8" t="n"/>
      <c r="F86" s="8" t="n"/>
    </row>
    <row r="87">
      <c r="A87" s="9" t="inlineStr">
        <is>
          <t>Item</t>
        </is>
      </c>
      <c r="B87" s="9" t="inlineStr">
        <is>
          <t>Lean</t>
        </is>
      </c>
      <c r="C87" s="9" t="inlineStr">
        <is>
          <t>Standard</t>
        </is>
      </c>
      <c r="D87" s="9" t="inlineStr">
        <is>
          <t>Paid in</t>
        </is>
      </c>
      <c r="E87" s="9" t="inlineStr">
        <is>
          <t>Applies if</t>
        </is>
      </c>
      <c r="F87" s="9" t="inlineStr">
        <is>
          <t>Source / note</t>
        </is>
      </c>
    </row>
    <row r="88">
      <c r="A88" s="10" t="inlineStr">
        <is>
          <t>Company, trademark, lawyer review, insurance setup</t>
        </is>
      </c>
      <c r="B88" s="14" t="n">
        <v>4500</v>
      </c>
      <c r="C88" s="14" t="n">
        <v>7500</v>
      </c>
      <c r="D88" s="15" t="n">
        <v>46304</v>
      </c>
      <c r="E88" s="10" t="inlineStr">
        <is>
          <t>always</t>
        </is>
      </c>
      <c r="F88" s="12" t="inlineStr">
        <is>
          <t>TIMELINE.md cash by stage: $3k-6k lean, $5k-10k standard (midpoints). Monthly insurance is also in section 6; lower this if the bucket already covers the premium.</t>
        </is>
      </c>
    </row>
    <row r="89">
      <c r="A89" s="10" t="inlineStr">
        <is>
          <t>Samples and flavour development (Strawberry)</t>
        </is>
      </c>
      <c r="B89" s="14" t="n">
        <v>695</v>
      </c>
      <c r="C89" s="14" t="n">
        <v>4500</v>
      </c>
      <c r="D89" s="15" t="n">
        <v>46318</v>
      </c>
      <c r="E89" s="10" t="inlineStr">
        <is>
          <t>always</t>
        </is>
      </c>
      <c r="F89" s="12" t="inlineStr">
        <is>
          <t>Lean: EXPANSION.md, $695 at Pure Private Label. Standard: LAUNCH_GUIDE.md $3,000-6,000 (midpoint). TIMELINE.md: samples ordered Oct 23, 2026.</t>
        </is>
      </c>
    </row>
    <row r="90">
      <c r="A90" s="10" t="inlineStr">
        <is>
          <t>Label and regulatory review</t>
        </is>
      </c>
      <c r="B90" s="14" t="n">
        <v>1500</v>
      </c>
      <c r="C90" s="14" t="n">
        <v>2250</v>
      </c>
      <c r="D90" s="15" t="n">
        <v>46360</v>
      </c>
      <c r="E90" s="10" t="inlineStr">
        <is>
          <t>always</t>
        </is>
      </c>
      <c r="F90" s="12" t="inlineStr">
        <is>
          <t>LAUNCH_GUIDE.md: $1,500-3,000. TIMELINE.md: label reviewed by Dec 2026. QUOTE PENDING.</t>
        </is>
      </c>
    </row>
    <row r="91">
      <c r="A91" s="10" t="inlineStr">
        <is>
          <t>Launch kit: shakers, display, sampling supplies, apps</t>
        </is>
      </c>
      <c r="B91" s="14" t="n">
        <v>2000</v>
      </c>
      <c r="C91" s="14" t="n">
        <v>3000</v>
      </c>
      <c r="D91" s="15" t="n">
        <v>46419</v>
      </c>
      <c r="E91" s="10" t="inlineStr">
        <is>
          <t>always</t>
        </is>
      </c>
      <c r="F91" s="12" t="inlineStr">
        <is>
          <t>LAUNCH_GUIDE.md: $2,000-4,000 (standard path). Lean figure is an ESTIMATE.</t>
        </is>
      </c>
    </row>
    <row r="92">
      <c r="A92" s="10" t="inlineStr">
        <is>
          <t>Real Fruit Hydration sticks (development and first run)</t>
        </is>
      </c>
      <c r="B92" s="14" t="n">
        <v>4000</v>
      </c>
      <c r="C92" s="14" t="n">
        <v>12500</v>
      </c>
      <c r="D92" s="15" t="n">
        <v>46478</v>
      </c>
      <c r="E92" s="10" t="inlineStr">
        <is>
          <t>toggle</t>
        </is>
      </c>
      <c r="F92" s="12" t="inlineStr">
        <is>
          <t>TIMELINE.md: $3k-5k lean (144-unit run), $10k-15k standard (7,500 sticks at StickPax); midpoints. Paid the month before the May 2027 launch.</t>
        </is>
      </c>
    </row>
    <row r="93">
      <c r="A93" s="10" t="inlineStr">
        <is>
          <t>Second protein flavour: samples and development</t>
        </is>
      </c>
      <c r="B93" s="14" t="n">
        <v>695</v>
      </c>
      <c r="C93" s="14" t="n">
        <v>2000</v>
      </c>
      <c r="D93" s="15" t="n">
        <v>46461</v>
      </c>
      <c r="E93" s="10" t="inlineStr">
        <is>
          <t>toggle</t>
        </is>
      </c>
      <c r="F93" s="12" t="inlineStr">
        <is>
          <t>Lean: EXPANSION.md $695 samples. Standard: ESTIMATE (LAUNCH_GUIDE.md implies about $1.5k-3k per extra flavour). The flavour's first run is an inventory purchase (section 5).</t>
        </is>
      </c>
    </row>
    <row r="94">
      <c r="A94" s="10" t="inlineStr">
        <is>
          <t>Optional: Picked Creatine via Supliful</t>
        </is>
      </c>
      <c r="B94" s="14" t="n">
        <v>0</v>
      </c>
      <c r="C94" s="14" t="n">
        <v>0</v>
      </c>
      <c r="D94" s="15" t="n">
        <v>46332</v>
      </c>
      <c r="E94" s="10" t="inlineStr">
        <is>
          <t>always</t>
        </is>
      </c>
      <c r="F94" s="12" t="inlineStr">
        <is>
          <t>TIMELINE.md: $300-1k in fees and samples, optional. Default 0; its revenue is not modelled.</t>
        </is>
      </c>
    </row>
    <row r="96">
      <c r="A96" s="7" t="inlineStr">
        <is>
          <t>8. Monthly demand, Base case (SCENARIO ASSUMPTIONS, not forecasts or actual sales)</t>
        </is>
      </c>
      <c r="B96" s="8" t="n"/>
      <c r="C96" s="8" t="n"/>
      <c r="D96" s="8" t="n"/>
      <c r="E96" s="8" t="n"/>
      <c r="F96" s="8" t="n"/>
    </row>
    <row r="97">
      <c r="A97" s="9" t="inlineStr">
        <is>
          <t>Month</t>
        </is>
      </c>
      <c r="B97" s="9" t="inlineStr">
        <is>
          <t>Organic / waitlist-driven new customers</t>
        </is>
      </c>
      <c r="C97" s="9" t="inlineStr">
        <is>
          <t>Paid new customers</t>
        </is>
      </c>
      <c r="D97" s="9" t="inlineStr">
        <is>
          <t>New store accounts</t>
        </is>
      </c>
      <c r="E97" s="9" t="inlineStr"/>
      <c r="F97" s="9" t="inlineStr">
        <is>
          <t>Source / note</t>
        </is>
      </c>
    </row>
    <row r="98">
      <c r="A98" s="22">
        <f>DATE(2027,3,1)</f>
        <v/>
      </c>
      <c r="B98" s="20" t="n">
        <v>15</v>
      </c>
      <c r="C98" s="20" t="n">
        <v>0</v>
      </c>
      <c r="D98" s="20" t="n">
        <v>2</v>
      </c>
      <c r="F98" s="12" t="inlineStr">
        <is>
          <t>Conservative defaults chosen for illustration; the owner replaces them. Organic = sampling, content, referrals. Paid = new customers bought at the CAC above (STRATEGY.md: only once a first order costs &lt; ~$22). Stores = new direct accounts (LAUNCH_GUIDE.md rung 1 gate: 10 reordering). Waitlist conversions are added on top in the first ship month.</t>
        </is>
      </c>
    </row>
    <row r="99">
      <c r="A99" s="22">
        <f>EDATE(A98,1)</f>
        <v/>
      </c>
      <c r="B99" s="20" t="n">
        <v>15</v>
      </c>
      <c r="C99" s="20" t="n">
        <v>0</v>
      </c>
      <c r="D99" s="20" t="n">
        <v>2</v>
      </c>
    </row>
    <row r="100">
      <c r="A100" s="22">
        <f>EDATE(A99,1)</f>
        <v/>
      </c>
      <c r="B100" s="20" t="n">
        <v>20</v>
      </c>
      <c r="C100" s="20" t="n">
        <v>5</v>
      </c>
      <c r="D100" s="20" t="n">
        <v>2</v>
      </c>
    </row>
    <row r="101">
      <c r="A101" s="22">
        <f>EDATE(A100,1)</f>
        <v/>
      </c>
      <c r="B101" s="20" t="n">
        <v>20</v>
      </c>
      <c r="C101" s="20" t="n">
        <v>5</v>
      </c>
      <c r="D101" s="20" t="n">
        <v>2</v>
      </c>
    </row>
    <row r="102">
      <c r="A102" s="22">
        <f>EDATE(A101,1)</f>
        <v/>
      </c>
      <c r="B102" s="20" t="n">
        <v>25</v>
      </c>
      <c r="C102" s="20" t="n">
        <v>10</v>
      </c>
      <c r="D102" s="20" t="n">
        <v>1</v>
      </c>
    </row>
    <row r="103">
      <c r="A103" s="22">
        <f>EDATE(A102,1)</f>
        <v/>
      </c>
      <c r="B103" s="20" t="n">
        <v>25</v>
      </c>
      <c r="C103" s="20" t="n">
        <v>10</v>
      </c>
      <c r="D103" s="20" t="n">
        <v>1</v>
      </c>
    </row>
    <row r="104">
      <c r="A104" s="22">
        <f>EDATE(A103,1)</f>
        <v/>
      </c>
      <c r="B104" s="20" t="n">
        <v>30</v>
      </c>
      <c r="C104" s="20" t="n">
        <v>10</v>
      </c>
      <c r="D104" s="20" t="n">
        <v>1</v>
      </c>
    </row>
    <row r="105">
      <c r="A105" s="22">
        <f>EDATE(A104,1)</f>
        <v/>
      </c>
      <c r="B105" s="20" t="n">
        <v>30</v>
      </c>
      <c r="C105" s="20" t="n">
        <v>10</v>
      </c>
      <c r="D105" s="20" t="n">
        <v>1</v>
      </c>
    </row>
    <row r="106">
      <c r="A106" s="22">
        <f>EDATE(A105,1)</f>
        <v/>
      </c>
      <c r="B106" s="20" t="n">
        <v>35</v>
      </c>
      <c r="C106" s="20" t="n">
        <v>15</v>
      </c>
      <c r="D106" s="20" t="n">
        <v>1</v>
      </c>
    </row>
    <row r="107">
      <c r="A107" s="22">
        <f>EDATE(A106,1)</f>
        <v/>
      </c>
      <c r="B107" s="20" t="n">
        <v>40</v>
      </c>
      <c r="C107" s="20" t="n">
        <v>15</v>
      </c>
      <c r="D107" s="20" t="n">
        <v>1</v>
      </c>
    </row>
  </sheetData>
  <mergeCells count="1">
    <mergeCell ref="F98:F107"/>
  </mergeCells>
  <dataValidations count="3">
    <dataValidation sqref="B6" showDropDown="0" showInputMessage="0" showErrorMessage="0" allowBlank="0" type="list">
      <formula1>"Lean,Standard"</formula1>
    </dataValidation>
    <dataValidation sqref="B7" showDropDown="0" showInputMessage="0" showErrorMessage="0" allowBlank="0" type="list">
      <formula1>"Low,Base,High"</formula1>
    </dataValidation>
    <dataValidation sqref="B66" showDropDown="0" showInputMessage="0" showErrorMessage="0" allowBlank="0" type="whole" operator="between">
      <formula1>1</formula1>
      <formula2>3</formula2>
    </dataValidation>
  </dataValidations>
  <pageMargins left="0.75" right="0.75" top="1" bottom="1" header="0.5" footer="0.5"/>
</worksheet>
</file>

<file path=xl/worksheets/sheet3.xml><?xml version="1.0" encoding="utf-8"?>
<worksheet xmlns="http://schemas.openxmlformats.org/spreadsheetml/2006/main">
  <sheetPr>
    <tabColor rgb="00F0505E"/>
    <outlinePr summaryBelow="1" summaryRight="1"/>
    <pageSetUpPr/>
  </sheetPr>
  <dimension ref="A1:H40"/>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3" customWidth="1" min="2" max="2"/>
    <col width="13" customWidth="1" min="3" max="3"/>
    <col width="15" customWidth="1" min="4" max="4"/>
    <col width="13" customWidth="1" min="5" max="5"/>
    <col width="14" customWidth="1" min="6" max="6"/>
    <col width="12" customWidth="1" min="7" max="7"/>
    <col width="46" customWidth="1" min="8" max="8"/>
  </cols>
  <sheetData>
    <row r="1">
      <c r="A1" s="5" t="inlineStr">
        <is>
          <t>Picked: unit economics per order</t>
        </is>
      </c>
    </row>
    <row r="2">
      <c r="A2" s="6" t="inlineStr">
        <is>
          <t>Estimates from the Inputs sheet. Contribution is before marketing and fixed costs.</t>
        </is>
      </c>
    </row>
    <row r="4">
      <c r="A4" s="7" t="inlineStr">
        <is>
          <t>A. At Standard-run cost of goods (reconciles to STRATEGY.md's table)</t>
        </is>
      </c>
      <c r="B4" s="8" t="n"/>
      <c r="C4" s="8" t="n"/>
      <c r="D4" s="8" t="n"/>
      <c r="E4" s="8" t="n"/>
      <c r="F4" s="8" t="n"/>
      <c r="G4" s="8" t="n"/>
      <c r="H4" s="8" t="n"/>
    </row>
    <row r="5">
      <c r="A5" s="9" t="inlineStr">
        <is>
          <t>Channel</t>
        </is>
      </c>
      <c r="B5" s="9" t="inlineStr">
        <is>
          <t>Price received</t>
        </is>
      </c>
      <c r="C5" s="9" t="inlineStr">
        <is>
          <t>Goods</t>
        </is>
      </c>
      <c r="D5" s="9" t="inlineStr">
        <is>
          <t>Shipping / freight</t>
        </is>
      </c>
      <c r="E5" s="9" t="inlineStr">
        <is>
          <t>Card fees</t>
        </is>
      </c>
      <c r="F5" s="9" t="inlineStr">
        <is>
          <t>Contribution</t>
        </is>
      </c>
      <c r="G5" s="9" t="inlineStr">
        <is>
          <t>Margin</t>
        </is>
      </c>
      <c r="H5" s="9" t="inlineStr">
        <is>
          <t>STRATEGY.md says (at $23 goods)</t>
        </is>
      </c>
    </row>
    <row r="6">
      <c r="A6" s="10" t="inlineStr">
        <is>
          <t>DTC one-off pouch</t>
        </is>
      </c>
      <c r="B6" s="23">
        <f>in_PricePouch</f>
        <v/>
      </c>
      <c r="C6" s="23">
        <f>in_CogsStd</f>
        <v/>
      </c>
      <c r="D6" s="23">
        <f>in_ShipOrder</f>
        <v/>
      </c>
      <c r="E6" s="23">
        <f>B6*in_CardPct+in_CardFixed</f>
        <v/>
      </c>
      <c r="F6" s="24">
        <f>B6-C6-D6-E6</f>
        <v/>
      </c>
      <c r="G6" s="25">
        <f>IF(B6=0,0,F6/B6)</f>
        <v/>
      </c>
      <c r="H6" s="6" t="inlineStr">
        <is>
          <t>about $22</t>
        </is>
      </c>
    </row>
    <row r="7">
      <c r="A7" s="10" t="inlineStr">
        <is>
          <t>DTC subscription pouch</t>
        </is>
      </c>
      <c r="B7" s="23">
        <f>in_PricePouch*(1-in_SubDisc)</f>
        <v/>
      </c>
      <c r="C7" s="23">
        <f>in_CogsStd</f>
        <v/>
      </c>
      <c r="D7" s="23">
        <f>in_ShipOrder</f>
        <v/>
      </c>
      <c r="E7" s="23">
        <f>B7*in_CardPct+in_CardFixed</f>
        <v/>
      </c>
      <c r="F7" s="24">
        <f>B7-C7-D7-E7</f>
        <v/>
      </c>
      <c r="G7" s="25">
        <f>IF(B7=0,0,F7/B7)</f>
        <v/>
      </c>
      <c r="H7" s="6" t="inlineStr">
        <is>
          <t>about $14</t>
        </is>
      </c>
    </row>
    <row r="8">
      <c r="A8" s="10" t="inlineStr">
        <is>
          <t>Wholesale direct to store, pouch</t>
        </is>
      </c>
      <c r="B8" s="23">
        <f>in_WsPouch</f>
        <v/>
      </c>
      <c r="C8" s="23">
        <f>in_CogsStd</f>
        <v/>
      </c>
      <c r="D8" s="23">
        <f>in_FreightPouch</f>
        <v/>
      </c>
      <c r="E8" s="23">
        <f>0</f>
        <v/>
      </c>
      <c r="F8" s="24">
        <f>B8-C8-D8-E8</f>
        <v/>
      </c>
      <c r="G8" s="25">
        <f>IF(B8=0,0,F8/B8)</f>
        <v/>
      </c>
      <c r="H8" s="6" t="inlineStr">
        <is>
          <t>about $3.50</t>
        </is>
      </c>
    </row>
    <row r="9">
      <c r="A9" s="10" t="inlineStr">
        <is>
          <t>Distributor, pouch (25% off wholesale)</t>
        </is>
      </c>
      <c r="B9" s="23">
        <f>in_WsPouch*(1-in_DistDisc)</f>
        <v/>
      </c>
      <c r="C9" s="23">
        <f>in_CogsStd</f>
        <v/>
      </c>
      <c r="D9" s="23">
        <f>in_FreightDist</f>
        <v/>
      </c>
      <c r="E9" s="23">
        <f>0</f>
        <v/>
      </c>
      <c r="F9" s="24">
        <f>B9-C9-D9-E9</f>
        <v/>
      </c>
      <c r="G9" s="25">
        <f>IF(B9=0,0,F9/B9)</f>
        <v/>
      </c>
      <c r="H9" s="6" t="inlineStr">
        <is>
          <t>a loss</t>
        </is>
      </c>
    </row>
    <row r="10">
      <c r="A10" s="10" t="inlineStr">
        <is>
          <t>DTC stick box of 10</t>
        </is>
      </c>
      <c r="B10" s="23">
        <f>in_PriceStickBox</f>
        <v/>
      </c>
      <c r="C10" s="23">
        <f>in_StickCogsStd*in_SticksPerBox</f>
        <v/>
      </c>
      <c r="D10" s="23">
        <f>in_ShipOrder</f>
        <v/>
      </c>
      <c r="E10" s="23">
        <f>B10*in_CardPct+in_CardFixed</f>
        <v/>
      </c>
      <c r="F10" s="24">
        <f>B10-C10-D10-E10</f>
        <v/>
      </c>
      <c r="G10" s="25">
        <f>IF(B10=0,0,F10/B10)</f>
        <v/>
      </c>
      <c r="H10" s="6" t="inlineStr">
        <is>
          <t>n/a</t>
        </is>
      </c>
    </row>
    <row r="11">
      <c r="A11" s="10" t="inlineStr">
        <is>
          <t>Wholesale stick (single)</t>
        </is>
      </c>
      <c r="B11" s="23">
        <f>in_WsStick</f>
        <v/>
      </c>
      <c r="C11" s="23">
        <f>in_StickCogsStd</f>
        <v/>
      </c>
      <c r="D11" s="23">
        <f>in_FreightStick</f>
        <v/>
      </c>
      <c r="E11" s="23">
        <f>0</f>
        <v/>
      </c>
      <c r="F11" s="24">
        <f>B11-C11-D11-E11</f>
        <v/>
      </c>
      <c r="G11" s="25">
        <f>IF(B11=0,0,F11/B11)</f>
        <v/>
      </c>
      <c r="H11" s="6" t="inlineStr">
        <is>
          <t>n/a</t>
        </is>
      </c>
    </row>
    <row r="13">
      <c r="A13" s="7" t="inlineStr">
        <is>
          <t>B. At the active run-size mode's cost of goods (Inputs toggle)</t>
        </is>
      </c>
      <c r="B13" s="8" t="n"/>
      <c r="C13" s="8" t="n"/>
      <c r="D13" s="8" t="n"/>
      <c r="E13" s="8" t="n"/>
      <c r="F13" s="8" t="n"/>
      <c r="G13" s="8" t="n"/>
      <c r="H13" s="8" t="n"/>
    </row>
    <row r="14">
      <c r="A14" s="9" t="inlineStr">
        <is>
          <t>Channel</t>
        </is>
      </c>
      <c r="B14" s="9" t="inlineStr">
        <is>
          <t>Price received</t>
        </is>
      </c>
      <c r="C14" s="9" t="inlineStr">
        <is>
          <t>Goods</t>
        </is>
      </c>
      <c r="D14" s="9" t="inlineStr">
        <is>
          <t>Shipping / freight</t>
        </is>
      </c>
      <c r="E14" s="9" t="inlineStr">
        <is>
          <t>Card fees</t>
        </is>
      </c>
      <c r="F14" s="9" t="inlineStr">
        <is>
          <t>Contribution</t>
        </is>
      </c>
      <c r="G14" s="9" t="inlineStr">
        <is>
          <t>Margin</t>
        </is>
      </c>
      <c r="H14" s="9" t="inlineStr">
        <is>
          <t>STRATEGY.md says (at $23 goods)</t>
        </is>
      </c>
    </row>
    <row r="15">
      <c r="A15" s="10" t="inlineStr">
        <is>
          <t>DTC one-off pouch</t>
        </is>
      </c>
      <c r="B15" s="23">
        <f>in_PricePouch</f>
        <v/>
      </c>
      <c r="C15" s="23">
        <f>IF(in_Mode="Lean",in_CogsLean,in_CogsStd)</f>
        <v/>
      </c>
      <c r="D15" s="23">
        <f>in_ShipOrder</f>
        <v/>
      </c>
      <c r="E15" s="23">
        <f>B15*in_CardPct+in_CardFixed</f>
        <v/>
      </c>
      <c r="F15" s="24">
        <f>B15-C15-D15-E15</f>
        <v/>
      </c>
      <c r="G15" s="25">
        <f>IF(B15=0,0,F15/B15)</f>
        <v/>
      </c>
      <c r="H15" s="6" t="inlineStr">
        <is>
          <t>about $22</t>
        </is>
      </c>
    </row>
    <row r="16">
      <c r="A16" s="10" t="inlineStr">
        <is>
          <t>DTC subscription pouch</t>
        </is>
      </c>
      <c r="B16" s="23">
        <f>in_PricePouch*(1-in_SubDisc)</f>
        <v/>
      </c>
      <c r="C16" s="23">
        <f>IF(in_Mode="Lean",in_CogsLean,in_CogsStd)</f>
        <v/>
      </c>
      <c r="D16" s="23">
        <f>in_ShipOrder</f>
        <v/>
      </c>
      <c r="E16" s="23">
        <f>B16*in_CardPct+in_CardFixed</f>
        <v/>
      </c>
      <c r="F16" s="24">
        <f>B16-C16-D16-E16</f>
        <v/>
      </c>
      <c r="G16" s="25">
        <f>IF(B16=0,0,F16/B16)</f>
        <v/>
      </c>
      <c r="H16" s="6" t="inlineStr">
        <is>
          <t>about $14</t>
        </is>
      </c>
    </row>
    <row r="17">
      <c r="A17" s="10" t="inlineStr">
        <is>
          <t>Wholesale direct to store, pouch</t>
        </is>
      </c>
      <c r="B17" s="23">
        <f>in_WsPouch</f>
        <v/>
      </c>
      <c r="C17" s="23">
        <f>IF(in_Mode="Lean",in_CogsLean,in_CogsStd)</f>
        <v/>
      </c>
      <c r="D17" s="23">
        <f>in_FreightPouch</f>
        <v/>
      </c>
      <c r="E17" s="23">
        <f>0</f>
        <v/>
      </c>
      <c r="F17" s="24">
        <f>B17-C17-D17-E17</f>
        <v/>
      </c>
      <c r="G17" s="25">
        <f>IF(B17=0,0,F17/B17)</f>
        <v/>
      </c>
      <c r="H17" s="6" t="inlineStr">
        <is>
          <t>about $3.50</t>
        </is>
      </c>
    </row>
    <row r="18">
      <c r="A18" s="10" t="inlineStr">
        <is>
          <t>Distributor, pouch (25% off wholesale)</t>
        </is>
      </c>
      <c r="B18" s="23">
        <f>in_WsPouch*(1-in_DistDisc)</f>
        <v/>
      </c>
      <c r="C18" s="23">
        <f>IF(in_Mode="Lean",in_CogsLean,in_CogsStd)</f>
        <v/>
      </c>
      <c r="D18" s="23">
        <f>in_FreightDist</f>
        <v/>
      </c>
      <c r="E18" s="23">
        <f>0</f>
        <v/>
      </c>
      <c r="F18" s="24">
        <f>B18-C18-D18-E18</f>
        <v/>
      </c>
      <c r="G18" s="25">
        <f>IF(B18=0,0,F18/B18)</f>
        <v/>
      </c>
      <c r="H18" s="6" t="inlineStr">
        <is>
          <t>a loss</t>
        </is>
      </c>
    </row>
    <row r="19">
      <c r="A19" s="10" t="inlineStr">
        <is>
          <t>DTC stick box of 10</t>
        </is>
      </c>
      <c r="B19" s="23">
        <f>in_PriceStickBox</f>
        <v/>
      </c>
      <c r="C19" s="23">
        <f>IF(in_Mode="Lean",in_StickCogsLean,in_StickCogsStd)*in_SticksPerBox</f>
        <v/>
      </c>
      <c r="D19" s="23">
        <f>in_ShipOrder</f>
        <v/>
      </c>
      <c r="E19" s="23">
        <f>B19*in_CardPct+in_CardFixed</f>
        <v/>
      </c>
      <c r="F19" s="24">
        <f>B19-C19-D19-E19</f>
        <v/>
      </c>
      <c r="G19" s="25">
        <f>IF(B19=0,0,F19/B19)</f>
        <v/>
      </c>
      <c r="H19" s="6" t="inlineStr">
        <is>
          <t>n/a</t>
        </is>
      </c>
    </row>
    <row r="20">
      <c r="A20" s="10" t="inlineStr">
        <is>
          <t>Wholesale stick (single)</t>
        </is>
      </c>
      <c r="B20" s="23">
        <f>in_WsStick</f>
        <v/>
      </c>
      <c r="C20" s="23">
        <f>IF(in_Mode="Lean",in_StickCogsLean,in_StickCogsStd)</f>
        <v/>
      </c>
      <c r="D20" s="23">
        <f>in_FreightStick</f>
        <v/>
      </c>
      <c r="E20" s="23">
        <f>0</f>
        <v/>
      </c>
      <c r="F20" s="24">
        <f>B20-C20-D20-E20</f>
        <v/>
      </c>
      <c r="G20" s="25">
        <f>IF(B20=0,0,F20/B20)</f>
        <v/>
      </c>
      <c r="H20" s="6" t="inlineStr">
        <is>
          <t>n/a</t>
        </is>
      </c>
    </row>
    <row r="21">
      <c r="A21" s="26" t="inlineStr">
        <is>
          <t>Active mode:</t>
        </is>
      </c>
      <c r="B21" s="26">
        <f>in_Mode</f>
        <v/>
      </c>
    </row>
    <row r="22">
      <c r="A22" t="inlineStr">
        <is>
          <t>Retailer margin on a single stick at SRP</t>
        </is>
      </c>
      <c r="B22" s="25">
        <f>(in_PriceStick-in_WsStick)/in_PriceStick</f>
        <v/>
      </c>
      <c r="H22" s="6" t="inlineStr">
        <is>
          <t>STRATEGY.md: keystone, 50% retailer margin</t>
        </is>
      </c>
    </row>
    <row r="23">
      <c r="A23" t="inlineStr">
        <is>
          <t>Pouch goods cost at which distributors break even</t>
        </is>
      </c>
      <c r="B23" s="27">
        <f>in_WsPouch*(1-in_DistDisc)-in_FreightDist</f>
        <v/>
      </c>
      <c r="H23" s="6" t="inlineStr">
        <is>
          <t>STRATEGY.md: go to distributors only once goods cost $16 or less</t>
        </is>
      </c>
    </row>
    <row r="25">
      <c r="A25" s="7" t="inlineStr">
        <is>
          <t>C. CAC payback and lifetime value (contribution, undiscounted, before fixed costs)</t>
        </is>
      </c>
      <c r="B25" s="8" t="n"/>
      <c r="C25" s="8" t="n"/>
      <c r="D25" s="8" t="n"/>
      <c r="E25" s="8" t="n"/>
      <c r="F25" s="8" t="n"/>
      <c r="G25" s="8" t="n"/>
      <c r="H25" s="8" t="n"/>
    </row>
    <row r="26">
      <c r="A26" s="9" t="inlineStr">
        <is>
          <t>Measure</t>
        </is>
      </c>
      <c r="B26" s="9" t="inlineStr">
        <is>
          <t>Standard COGS</t>
        </is>
      </c>
      <c r="C26" s="9" t="inlineStr">
        <is>
          <t>Active mode</t>
        </is>
      </c>
      <c r="D26" s="9" t="inlineStr"/>
      <c r="E26" s="9" t="inlineStr"/>
      <c r="F26" s="9" t="inlineStr"/>
      <c r="G26" s="9" t="inlineStr"/>
      <c r="H26" s="9" t="inlineStr">
        <is>
          <t>How it is calculated</t>
        </is>
      </c>
    </row>
    <row r="27">
      <c r="A27" s="10" t="inlineStr">
        <is>
          <t>CAC (paid cost per first order)</t>
        </is>
      </c>
      <c r="B27" s="23">
        <f>in_CAC</f>
        <v/>
      </c>
      <c r="C27" s="23">
        <f>in_CAC</f>
        <v/>
      </c>
      <c r="H27" s="6" t="inlineStr">
        <is>
          <t>Inputs</t>
        </is>
      </c>
    </row>
    <row r="28">
      <c r="A28" s="10" t="inlineStr">
        <is>
          <t>Contribution, DTC one-off order</t>
        </is>
      </c>
      <c r="B28" s="23">
        <f>F6</f>
        <v/>
      </c>
      <c r="C28" s="23">
        <f>F15</f>
        <v/>
      </c>
      <c r="H28" s="6" t="inlineStr">
        <is>
          <t>Table A / B</t>
        </is>
      </c>
    </row>
    <row r="29">
      <c r="A29" s="10" t="inlineStr">
        <is>
          <t>Contribution, DTC subscription order</t>
        </is>
      </c>
      <c r="B29" s="23">
        <f>F7</f>
        <v/>
      </c>
      <c r="C29" s="23">
        <f>F16</f>
        <v/>
      </c>
      <c r="H29" s="6" t="inlineStr">
        <is>
          <t>Table A / B</t>
        </is>
      </c>
    </row>
    <row r="30">
      <c r="A30" s="10" t="inlineStr">
        <is>
          <t>First one-off order contribution after CAC</t>
        </is>
      </c>
      <c r="B30" s="23">
        <f>B28-B27</f>
        <v/>
      </c>
      <c r="C30" s="23">
        <f>C28-C27</f>
        <v/>
      </c>
      <c r="H30" s="6" t="inlineStr">
        <is>
          <t>Negative = the first order does not pay for the ad</t>
        </is>
      </c>
    </row>
    <row r="31">
      <c r="A31" s="10" t="inlineStr">
        <is>
          <t>One-off orders needed to pay back CAC</t>
        </is>
      </c>
      <c r="B31" s="28">
        <f>IF(B28&lt;=0,"never",B27/B28)</f>
        <v/>
      </c>
      <c r="C31" s="28">
        <f>IF(C28&lt;=0,"never",C27/C28)</f>
        <v/>
      </c>
      <c r="H31" s="6" t="inlineStr">
        <is>
          <t>CAC / one-off contribution</t>
        </is>
      </c>
    </row>
    <row r="32">
      <c r="A32" s="10" t="inlineStr">
        <is>
          <t>Subscription months to pay back CAC</t>
        </is>
      </c>
      <c r="B32" s="28">
        <f>IF(B29&lt;=0,"never",B27/B29)</f>
        <v/>
      </c>
      <c r="C32" s="28">
        <f>IF(C29&lt;=0,"never",C27/C29)</f>
        <v/>
      </c>
      <c r="H32" s="6" t="inlineStr">
        <is>
          <t>CAC / subscription contribution</t>
        </is>
      </c>
    </row>
    <row r="33">
      <c r="A33" s="10" t="inlineStr">
        <is>
          <t>Expected orders per one-off customer</t>
        </is>
      </c>
      <c r="B33" s="28">
        <f>1/(1-in_Repeat)</f>
        <v/>
      </c>
      <c r="C33" s="28">
        <f>1/(1-in_Repeat)</f>
        <v/>
      </c>
      <c r="H33" s="6" t="inlineStr">
        <is>
          <t>1 / (1 - repeat rate)</t>
        </is>
      </c>
    </row>
    <row r="34">
      <c r="A34" s="10" t="inlineStr">
        <is>
          <t>Expected orders (months) per subscriber</t>
        </is>
      </c>
      <c r="B34" s="28">
        <f>1/in_SubChurn</f>
        <v/>
      </c>
      <c r="C34" s="28">
        <f>1/in_SubChurn</f>
        <v/>
      </c>
      <c r="H34" s="6" t="inlineStr">
        <is>
          <t>1 / monthly churn</t>
        </is>
      </c>
    </row>
    <row r="35">
      <c r="A35" s="10" t="inlineStr">
        <is>
          <t>LTV, one-off customer</t>
        </is>
      </c>
      <c r="B35" s="23">
        <f>B28*B33</f>
        <v/>
      </c>
      <c r="C35" s="23">
        <f>C28*C33</f>
        <v/>
      </c>
      <c r="H35" s="6" t="inlineStr">
        <is>
          <t>Contribution x expected orders</t>
        </is>
      </c>
    </row>
    <row r="36">
      <c r="A36" s="10" t="inlineStr">
        <is>
          <t>LTV, subscriber</t>
        </is>
      </c>
      <c r="B36" s="23">
        <f>B29*B34</f>
        <v/>
      </c>
      <c r="C36" s="23">
        <f>C29*C34</f>
        <v/>
      </c>
      <c r="H36" s="6" t="inlineStr">
        <is>
          <t>Contribution x expected months</t>
        </is>
      </c>
    </row>
    <row r="37">
      <c r="A37" s="10" t="inlineStr">
        <is>
          <t>Blended LTV per new DTC customer</t>
        </is>
      </c>
      <c r="B37" s="23">
        <f>in_SubShare*B36+(1-in_SubShare)*B35</f>
        <v/>
      </c>
      <c r="C37" s="23">
        <f>in_SubShare*C36+(1-in_SubShare)*C35</f>
        <v/>
      </c>
      <c r="H37" s="6" t="inlineStr">
        <is>
          <t>Weighted by subscription share</t>
        </is>
      </c>
    </row>
    <row r="38">
      <c r="A38" s="10" t="inlineStr">
        <is>
          <t>LTV : CAC</t>
        </is>
      </c>
      <c r="B38" s="29">
        <f>IF(B27=0,"n/a",B37/B27)</f>
        <v/>
      </c>
      <c r="C38" s="29">
        <f>IF(C27=0,"n/a",C37/C27)</f>
        <v/>
      </c>
      <c r="H38" s="6" t="inlineStr">
        <is>
          <t>Common rule of thumb: aim for 3x or better</t>
        </is>
      </c>
    </row>
    <row r="39">
      <c r="A39" s="10" t="inlineStr">
        <is>
          <t>Highest CAC that still breaks even over the lifetime</t>
        </is>
      </c>
      <c r="B39" s="23">
        <f>B37</f>
        <v/>
      </c>
      <c r="C39" s="23">
        <f>C37</f>
        <v/>
      </c>
      <c r="H39" s="6" t="inlineStr">
        <is>
          <t>Equals blended LTV</t>
        </is>
      </c>
    </row>
    <row r="40">
      <c r="A40" s="10" t="inlineStr">
        <is>
          <t>CAC that keeps a 3:1 LTV : CAC</t>
        </is>
      </c>
      <c r="B40" s="23">
        <f>B37/3</f>
        <v/>
      </c>
      <c r="C40" s="23">
        <f>C37/3</f>
        <v/>
      </c>
      <c r="H40" s="6" t="inlineStr">
        <is>
          <t>Blended LTV / 3</t>
        </is>
      </c>
    </row>
  </sheetData>
  <pageMargins left="0.75" right="0.75" top="1" bottom="1" header="0.5" footer="0.5"/>
</worksheet>
</file>

<file path=xl/worksheets/sheet4.xml><?xml version="1.0" encoding="utf-8"?>
<worksheet xmlns="http://schemas.openxmlformats.org/spreadsheetml/2006/main">
  <sheetPr>
    <tabColor rgb="00F0505E"/>
    <outlinePr summaryBelow="1" summaryRight="1"/>
    <pageSetUpPr/>
  </sheetPr>
  <dimension ref="A1:R129"/>
  <sheetViews>
    <sheetView tabSelected="0" workbookViewId="0">
      <pane xSplit="2" ySplit="23" topLeftCell="C24" activePane="bottomRight" state="frozen"/>
      <selection pane="topRight"/>
      <selection pane="bottomLeft"/>
      <selection pane="bottomRight" activeCell="A1" sqref="A1"/>
    </sheetView>
  </sheetViews>
  <sheetFormatPr baseColWidth="8" defaultRowHeight="15"/>
  <cols>
    <col width="58" customWidth="1" min="1" max="1"/>
    <col width="16"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3" customWidth="1" min="18" max="18"/>
  </cols>
  <sheetData>
    <row r="1">
      <c r="A1" s="5" t="inlineStr">
        <is>
          <t>Picked: monthly cash flow (mode and demand case from Inputs)</t>
        </is>
      </c>
    </row>
    <row r="2">
      <c r="A2" s="6" t="inlineStr">
        <is>
          <t>Months Oct 2026 to Dec 2027. All figures are projections from the Inputs sheet, not actual results. Cash view: inventory is a cash outflow when bought; COGS appears only in the operating view at the bottom.</t>
        </is>
      </c>
    </row>
    <row r="3">
      <c r="A3" s="10" t="inlineStr">
        <is>
          <t>Run-size mode</t>
        </is>
      </c>
      <c r="B3" s="30">
        <f>in_Mode</f>
        <v/>
      </c>
    </row>
    <row r="4">
      <c r="A4" s="10" t="inlineStr">
        <is>
          <t>Demand multiplier</t>
        </is>
      </c>
      <c r="B4" s="31">
        <f>IF(in_Case="Low",in_MultLow,IF(in_Case="High",in_MultHigh,in_MultBase))</f>
        <v/>
      </c>
    </row>
    <row r="5">
      <c r="A5" s="10" t="inlineStr">
        <is>
          <t>Demand case</t>
        </is>
      </c>
      <c r="B5" s="30">
        <f>in_Case</f>
        <v/>
      </c>
    </row>
    <row r="6">
      <c r="A6" s="10" t="inlineStr">
        <is>
          <t>Pouch cost of goods (by mode)</t>
        </is>
      </c>
      <c r="B6" s="32">
        <f>IF($B$3="Lean",in_CogsLean,in_CogsStd)</f>
        <v/>
      </c>
    </row>
    <row r="7">
      <c r="A7" s="10" t="inlineStr">
        <is>
          <t>Stick cost of goods (by mode)</t>
        </is>
      </c>
      <c r="B7" s="32">
        <f>IF($B$3="Lean",in_StickCogsLean,in_StickCogsStd)</f>
        <v/>
      </c>
    </row>
    <row r="8">
      <c r="A8" s="10" t="inlineStr">
        <is>
          <t>Pouch run size (by mode)</t>
        </is>
      </c>
      <c r="B8" s="33">
        <f>IF($B$3="Lean",in_RunLean,in_RunStd)</f>
        <v/>
      </c>
    </row>
    <row r="9">
      <c r="A9" s="10" t="inlineStr">
        <is>
          <t>Stick run size (by mode)</t>
        </is>
      </c>
      <c r="B9" s="33">
        <f>IF($B$3="Lean",in_StickRunLean,in_StickRunStd)</f>
        <v/>
      </c>
    </row>
    <row r="10">
      <c r="A10" s="10" t="inlineStr">
        <is>
          <t>Sample credit on first order (by mode)</t>
        </is>
      </c>
      <c r="B10" s="34">
        <f>IF($B$3="Lean",in_SampleCreditLean,in_SampleCreditStd)</f>
        <v/>
      </c>
    </row>
    <row r="12">
      <c r="A12" s="7" t="inlineStr">
        <is>
          <t>Summary for this sheet's mode and case</t>
        </is>
      </c>
      <c r="B12" s="8" t="n"/>
    </row>
    <row r="13">
      <c r="A13" s="10" t="inlineStr">
        <is>
          <t>Lowest cash balance</t>
        </is>
      </c>
      <c r="B13" s="35">
        <f>MIN($C$120:$Q$120)</f>
        <v/>
      </c>
    </row>
    <row r="14">
      <c r="A14" s="10" t="inlineStr">
        <is>
          <t>Month of lowest cash balance</t>
        </is>
      </c>
      <c r="B14" s="36">
        <f>INDEX($C$23:$Q$23,MATCH(MIN($C$120:$Q$120),$C$120:$Q$120,0))</f>
        <v/>
      </c>
    </row>
    <row r="15">
      <c r="A15" s="10" t="inlineStr">
        <is>
          <t>Peak funding need (lowest cumulative net cash flow)</t>
        </is>
      </c>
      <c r="B15" s="35">
        <f>MIN(0,MIN($C$119:$Q$119))</f>
        <v/>
      </c>
    </row>
    <row r="16">
      <c r="A16" s="10" t="inlineStr">
        <is>
          <t>Operating break-even month (first month operating profit &gt;= 0)</t>
        </is>
      </c>
      <c r="B16" s="36">
        <f>IFERROR(INDEX($C$23:$Q$23,MATCH(1,$C$127:$Q$127,0)),"Not by Dec 2027")</f>
        <v/>
      </c>
    </row>
    <row r="17">
      <c r="A17" s="10" t="inlineStr">
        <is>
          <t>Cash payback month (cumulative net cash flow back to &gt;= 0)</t>
        </is>
      </c>
      <c r="B17" s="36">
        <f>IFERROR(INDEX($C$23:$Q$23,MATCH(1,$C$128:$Q$128,0)),"Not by Dec 2027")</f>
        <v/>
      </c>
    </row>
    <row r="18">
      <c r="A18" s="10" t="inlineStr">
        <is>
          <t>Cash balance, end of Jun 2027</t>
        </is>
      </c>
      <c r="B18" s="35">
        <f>IFERROR(INDEX($C$120:$Q$120,MATCH(DATE(2027,6,1),$C$23:$Q$23,0)),"n/a")</f>
        <v/>
      </c>
    </row>
    <row r="19">
      <c r="A19" s="10" t="inlineStr">
        <is>
          <t>Cash balance, end of Dec 2027</t>
        </is>
      </c>
      <c r="B19" s="35">
        <f>IFERROR(INDEX($C$120:$Q$120,MATCH(DATE(2027,12,1),$C$23:$Q$23,0)),"n/a")</f>
        <v/>
      </c>
    </row>
    <row r="20">
      <c r="A20" s="10" t="inlineStr">
        <is>
          <t>Stockout check (pouch + stick units short; should be 0)</t>
        </is>
      </c>
      <c r="B20" s="37">
        <f>SUM($C$54:$Q$54)+SUM($C$65:$Q$65)</f>
        <v/>
      </c>
    </row>
    <row r="21">
      <c r="A21" s="10" t="inlineStr">
        <is>
          <t>Operating profit, Oct 2026 to Dec 2027 (launch costs excluded)</t>
        </is>
      </c>
      <c r="B21" s="35">
        <f>SUM($C$126:$Q$126)</f>
        <v/>
      </c>
    </row>
    <row r="23">
      <c r="A23" s="9" t="inlineStr">
        <is>
          <t>Line</t>
        </is>
      </c>
      <c r="B23" s="9" t="inlineStr">
        <is>
          <t>Note</t>
        </is>
      </c>
      <c r="C23" s="38">
        <f>DATE(YEAR(in_ModelStart),MONTH(in_ModelStart),1)</f>
        <v/>
      </c>
      <c r="D23" s="38">
        <f>EDATE(C23,1)</f>
        <v/>
      </c>
      <c r="E23" s="38">
        <f>EDATE(D23,1)</f>
        <v/>
      </c>
      <c r="F23" s="38">
        <f>EDATE(E23,1)</f>
        <v/>
      </c>
      <c r="G23" s="38">
        <f>EDATE(F23,1)</f>
        <v/>
      </c>
      <c r="H23" s="38">
        <f>EDATE(G23,1)</f>
        <v/>
      </c>
      <c r="I23" s="38">
        <f>EDATE(H23,1)</f>
        <v/>
      </c>
      <c r="J23" s="38">
        <f>EDATE(I23,1)</f>
        <v/>
      </c>
      <c r="K23" s="38">
        <f>EDATE(J23,1)</f>
        <v/>
      </c>
      <c r="L23" s="38">
        <f>EDATE(K23,1)</f>
        <v/>
      </c>
      <c r="M23" s="38">
        <f>EDATE(L23,1)</f>
        <v/>
      </c>
      <c r="N23" s="38">
        <f>EDATE(M23,1)</f>
        <v/>
      </c>
      <c r="O23" s="38">
        <f>EDATE(N23,1)</f>
        <v/>
      </c>
      <c r="P23" s="38">
        <f>EDATE(O23,1)</f>
        <v/>
      </c>
      <c r="Q23" s="38">
        <f>EDATE(P23,1)</f>
        <v/>
      </c>
      <c r="R23" s="9" t="inlineStr">
        <is>
          <t>Total</t>
        </is>
      </c>
    </row>
    <row r="24">
      <c r="A24" s="10" t="inlineStr">
        <is>
          <t>Selling? (1 from the first ship month)</t>
        </is>
      </c>
      <c r="C24" s="39">
        <f>IF(C$23&gt;=DATE(YEAR(in_FirstShip),MONTH(in_FirstShip),1),1,0)</f>
        <v/>
      </c>
      <c r="D24" s="39">
        <f>IF(D$23&gt;=DATE(YEAR(in_FirstShip),MONTH(in_FirstShip),1),1,0)</f>
        <v/>
      </c>
      <c r="E24" s="39">
        <f>IF(E$23&gt;=DATE(YEAR(in_FirstShip),MONTH(in_FirstShip),1),1,0)</f>
        <v/>
      </c>
      <c r="F24" s="39">
        <f>IF(F$23&gt;=DATE(YEAR(in_FirstShip),MONTH(in_FirstShip),1),1,0)</f>
        <v/>
      </c>
      <c r="G24" s="39">
        <f>IF(G$23&gt;=DATE(YEAR(in_FirstShip),MONTH(in_FirstShip),1),1,0)</f>
        <v/>
      </c>
      <c r="H24" s="39">
        <f>IF(H$23&gt;=DATE(YEAR(in_FirstShip),MONTH(in_FirstShip),1),1,0)</f>
        <v/>
      </c>
      <c r="I24" s="39">
        <f>IF(I$23&gt;=DATE(YEAR(in_FirstShip),MONTH(in_FirstShip),1),1,0)</f>
        <v/>
      </c>
      <c r="J24" s="39">
        <f>IF(J$23&gt;=DATE(YEAR(in_FirstShip),MONTH(in_FirstShip),1),1,0)</f>
        <v/>
      </c>
      <c r="K24" s="39">
        <f>IF(K$23&gt;=DATE(YEAR(in_FirstShip),MONTH(in_FirstShip),1),1,0)</f>
        <v/>
      </c>
      <c r="L24" s="39">
        <f>IF(L$23&gt;=DATE(YEAR(in_FirstShip),MONTH(in_FirstShip),1),1,0)</f>
        <v/>
      </c>
      <c r="M24" s="39">
        <f>IF(M$23&gt;=DATE(YEAR(in_FirstShip),MONTH(in_FirstShip),1),1,0)</f>
        <v/>
      </c>
      <c r="N24" s="39">
        <f>IF(N$23&gt;=DATE(YEAR(in_FirstShip),MONTH(in_FirstShip),1),1,0)</f>
        <v/>
      </c>
      <c r="O24" s="39">
        <f>IF(O$23&gt;=DATE(YEAR(in_FirstShip),MONTH(in_FirstShip),1),1,0)</f>
        <v/>
      </c>
      <c r="P24" s="39">
        <f>IF(P$23&gt;=DATE(YEAR(in_FirstShip),MONTH(in_FirstShip),1),1,0)</f>
        <v/>
      </c>
      <c r="Q24" s="39">
        <f>IF(Q$23&gt;=DATE(YEAR(in_FirstShip),MONTH(in_FirstShip),1),1,0)</f>
        <v/>
      </c>
    </row>
    <row r="26">
      <c r="A26" s="7" t="inlineStr">
        <is>
          <t>DTC customers and orders</t>
        </is>
      </c>
      <c r="B26" s="8" t="n"/>
      <c r="C26" s="8" t="n"/>
      <c r="D26" s="8" t="n"/>
      <c r="E26" s="8" t="n"/>
      <c r="F26" s="8" t="n"/>
      <c r="G26" s="8" t="n"/>
      <c r="H26" s="8" t="n"/>
      <c r="I26" s="8" t="n"/>
      <c r="J26" s="8" t="n"/>
      <c r="K26" s="8" t="n"/>
      <c r="L26" s="8" t="n"/>
      <c r="M26" s="8" t="n"/>
      <c r="N26" s="8" t="n"/>
      <c r="O26" s="8" t="n"/>
      <c r="P26" s="8" t="n"/>
      <c r="Q26" s="8" t="n"/>
      <c r="R26" s="8" t="n"/>
    </row>
    <row r="27">
      <c r="A27" s="10" t="inlineStr">
        <is>
          <t>Waitlist first orders (first ship month only)</t>
        </is>
      </c>
      <c r="B27" s="6" t="inlineStr">
        <is>
          <t>Waitlist x conversion</t>
        </is>
      </c>
      <c r="C27" s="40">
        <f>IF(EOMONTH(in_FirstShip,0)=EOMONTH(C$23,0),in_WaitSize*in_WaitConv*$B$4,0)</f>
        <v/>
      </c>
      <c r="D27" s="40">
        <f>IF(EOMONTH(in_FirstShip,0)=EOMONTH(D$23,0),in_WaitSize*in_WaitConv*$B$4,0)</f>
        <v/>
      </c>
      <c r="E27" s="40">
        <f>IF(EOMONTH(in_FirstShip,0)=EOMONTH(E$23,0),in_WaitSize*in_WaitConv*$B$4,0)</f>
        <v/>
      </c>
      <c r="F27" s="40">
        <f>IF(EOMONTH(in_FirstShip,0)=EOMONTH(F$23,0),in_WaitSize*in_WaitConv*$B$4,0)</f>
        <v/>
      </c>
      <c r="G27" s="40">
        <f>IF(EOMONTH(in_FirstShip,0)=EOMONTH(G$23,0),in_WaitSize*in_WaitConv*$B$4,0)</f>
        <v/>
      </c>
      <c r="H27" s="40">
        <f>IF(EOMONTH(in_FirstShip,0)=EOMONTH(H$23,0),in_WaitSize*in_WaitConv*$B$4,0)</f>
        <v/>
      </c>
      <c r="I27" s="40">
        <f>IF(EOMONTH(in_FirstShip,0)=EOMONTH(I$23,0),in_WaitSize*in_WaitConv*$B$4,0)</f>
        <v/>
      </c>
      <c r="J27" s="40">
        <f>IF(EOMONTH(in_FirstShip,0)=EOMONTH(J$23,0),in_WaitSize*in_WaitConv*$B$4,0)</f>
        <v/>
      </c>
      <c r="K27" s="40">
        <f>IF(EOMONTH(in_FirstShip,0)=EOMONTH(K$23,0),in_WaitSize*in_WaitConv*$B$4,0)</f>
        <v/>
      </c>
      <c r="L27" s="40">
        <f>IF(EOMONTH(in_FirstShip,0)=EOMONTH(L$23,0),in_WaitSize*in_WaitConv*$B$4,0)</f>
        <v/>
      </c>
      <c r="M27" s="40">
        <f>IF(EOMONTH(in_FirstShip,0)=EOMONTH(M$23,0),in_WaitSize*in_WaitConv*$B$4,0)</f>
        <v/>
      </c>
      <c r="N27" s="40">
        <f>IF(EOMONTH(in_FirstShip,0)=EOMONTH(N$23,0),in_WaitSize*in_WaitConv*$B$4,0)</f>
        <v/>
      </c>
      <c r="O27" s="40">
        <f>IF(EOMONTH(in_FirstShip,0)=EOMONTH(O$23,0),in_WaitSize*in_WaitConv*$B$4,0)</f>
        <v/>
      </c>
      <c r="P27" s="40">
        <f>IF(EOMONTH(in_FirstShip,0)=EOMONTH(P$23,0),in_WaitSize*in_WaitConv*$B$4,0)</f>
        <v/>
      </c>
      <c r="Q27" s="40">
        <f>IF(EOMONTH(in_FirstShip,0)=EOMONTH(Q$23,0),in_WaitSize*in_WaitConv*$B$4,0)</f>
        <v/>
      </c>
      <c r="R27" s="41">
        <f>SUM(C27:Q27)</f>
        <v/>
      </c>
    </row>
    <row r="28">
      <c r="A28" s="10" t="inlineStr">
        <is>
          <t>Organic new customers</t>
        </is>
      </c>
      <c r="C28" s="40">
        <f>IFERROR(INDEX(Inputs!$B$98:$B$107,MATCH(C$23,Inputs!$A$98:$A$107,0)),0)*$B$4*C24</f>
        <v/>
      </c>
      <c r="D28" s="40">
        <f>IFERROR(INDEX(Inputs!$B$98:$B$107,MATCH(D$23,Inputs!$A$98:$A$107,0)),0)*$B$4*D24</f>
        <v/>
      </c>
      <c r="E28" s="40">
        <f>IFERROR(INDEX(Inputs!$B$98:$B$107,MATCH(E$23,Inputs!$A$98:$A$107,0)),0)*$B$4*E24</f>
        <v/>
      </c>
      <c r="F28" s="40">
        <f>IFERROR(INDEX(Inputs!$B$98:$B$107,MATCH(F$23,Inputs!$A$98:$A$107,0)),0)*$B$4*F24</f>
        <v/>
      </c>
      <c r="G28" s="40">
        <f>IFERROR(INDEX(Inputs!$B$98:$B$107,MATCH(G$23,Inputs!$A$98:$A$107,0)),0)*$B$4*G24</f>
        <v/>
      </c>
      <c r="H28" s="40">
        <f>IFERROR(INDEX(Inputs!$B$98:$B$107,MATCH(H$23,Inputs!$A$98:$A$107,0)),0)*$B$4*H24</f>
        <v/>
      </c>
      <c r="I28" s="40">
        <f>IFERROR(INDEX(Inputs!$B$98:$B$107,MATCH(I$23,Inputs!$A$98:$A$107,0)),0)*$B$4*I24</f>
        <v/>
      </c>
      <c r="J28" s="40">
        <f>IFERROR(INDEX(Inputs!$B$98:$B$107,MATCH(J$23,Inputs!$A$98:$A$107,0)),0)*$B$4*J24</f>
        <v/>
      </c>
      <c r="K28" s="40">
        <f>IFERROR(INDEX(Inputs!$B$98:$B$107,MATCH(K$23,Inputs!$A$98:$A$107,0)),0)*$B$4*K24</f>
        <v/>
      </c>
      <c r="L28" s="40">
        <f>IFERROR(INDEX(Inputs!$B$98:$B$107,MATCH(L$23,Inputs!$A$98:$A$107,0)),0)*$B$4*L24</f>
        <v/>
      </c>
      <c r="M28" s="40">
        <f>IFERROR(INDEX(Inputs!$B$98:$B$107,MATCH(M$23,Inputs!$A$98:$A$107,0)),0)*$B$4*M24</f>
        <v/>
      </c>
      <c r="N28" s="40">
        <f>IFERROR(INDEX(Inputs!$B$98:$B$107,MATCH(N$23,Inputs!$A$98:$A$107,0)),0)*$B$4*N24</f>
        <v/>
      </c>
      <c r="O28" s="40">
        <f>IFERROR(INDEX(Inputs!$B$98:$B$107,MATCH(O$23,Inputs!$A$98:$A$107,0)),0)*$B$4*O24</f>
        <v/>
      </c>
      <c r="P28" s="40">
        <f>IFERROR(INDEX(Inputs!$B$98:$B$107,MATCH(P$23,Inputs!$A$98:$A$107,0)),0)*$B$4*P24</f>
        <v/>
      </c>
      <c r="Q28" s="40">
        <f>IFERROR(INDEX(Inputs!$B$98:$B$107,MATCH(Q$23,Inputs!$A$98:$A$107,0)),0)*$B$4*Q24</f>
        <v/>
      </c>
      <c r="R28" s="41">
        <f>SUM(C28:Q28)</f>
        <v/>
      </c>
    </row>
    <row r="29">
      <c r="A29" s="10" t="inlineStr">
        <is>
          <t>Paid new customers</t>
        </is>
      </c>
      <c r="C29" s="40">
        <f>IFERROR(INDEX(Inputs!$C$98:$C$107,MATCH(C$23,Inputs!$A$98:$A$107,0)),0)*$B$4*C24</f>
        <v/>
      </c>
      <c r="D29" s="40">
        <f>IFERROR(INDEX(Inputs!$C$98:$C$107,MATCH(D$23,Inputs!$A$98:$A$107,0)),0)*$B$4*D24</f>
        <v/>
      </c>
      <c r="E29" s="40">
        <f>IFERROR(INDEX(Inputs!$C$98:$C$107,MATCH(E$23,Inputs!$A$98:$A$107,0)),0)*$B$4*E24</f>
        <v/>
      </c>
      <c r="F29" s="40">
        <f>IFERROR(INDEX(Inputs!$C$98:$C$107,MATCH(F$23,Inputs!$A$98:$A$107,0)),0)*$B$4*F24</f>
        <v/>
      </c>
      <c r="G29" s="40">
        <f>IFERROR(INDEX(Inputs!$C$98:$C$107,MATCH(G$23,Inputs!$A$98:$A$107,0)),0)*$B$4*G24</f>
        <v/>
      </c>
      <c r="H29" s="40">
        <f>IFERROR(INDEX(Inputs!$C$98:$C$107,MATCH(H$23,Inputs!$A$98:$A$107,0)),0)*$B$4*H24</f>
        <v/>
      </c>
      <c r="I29" s="40">
        <f>IFERROR(INDEX(Inputs!$C$98:$C$107,MATCH(I$23,Inputs!$A$98:$A$107,0)),0)*$B$4*I24</f>
        <v/>
      </c>
      <c r="J29" s="40">
        <f>IFERROR(INDEX(Inputs!$C$98:$C$107,MATCH(J$23,Inputs!$A$98:$A$107,0)),0)*$B$4*J24</f>
        <v/>
      </c>
      <c r="K29" s="40">
        <f>IFERROR(INDEX(Inputs!$C$98:$C$107,MATCH(K$23,Inputs!$A$98:$A$107,0)),0)*$B$4*K24</f>
        <v/>
      </c>
      <c r="L29" s="40">
        <f>IFERROR(INDEX(Inputs!$C$98:$C$107,MATCH(L$23,Inputs!$A$98:$A$107,0)),0)*$B$4*L24</f>
        <v/>
      </c>
      <c r="M29" s="40">
        <f>IFERROR(INDEX(Inputs!$C$98:$C$107,MATCH(M$23,Inputs!$A$98:$A$107,0)),0)*$B$4*M24</f>
        <v/>
      </c>
      <c r="N29" s="40">
        <f>IFERROR(INDEX(Inputs!$C$98:$C$107,MATCH(N$23,Inputs!$A$98:$A$107,0)),0)*$B$4*N24</f>
        <v/>
      </c>
      <c r="O29" s="40">
        <f>IFERROR(INDEX(Inputs!$C$98:$C$107,MATCH(O$23,Inputs!$A$98:$A$107,0)),0)*$B$4*O24</f>
        <v/>
      </c>
      <c r="P29" s="40">
        <f>IFERROR(INDEX(Inputs!$C$98:$C$107,MATCH(P$23,Inputs!$A$98:$A$107,0)),0)*$B$4*P24</f>
        <v/>
      </c>
      <c r="Q29" s="40">
        <f>IFERROR(INDEX(Inputs!$C$98:$C$107,MATCH(Q$23,Inputs!$A$98:$A$107,0)),0)*$B$4*Q24</f>
        <v/>
      </c>
      <c r="R29" s="41">
        <f>SUM(C29:Q29)</f>
        <v/>
      </c>
    </row>
    <row r="30">
      <c r="A30" s="26" t="inlineStr">
        <is>
          <t>Total new DTC customers</t>
        </is>
      </c>
      <c r="C30" s="42">
        <f>C27+C28+C29</f>
        <v/>
      </c>
      <c r="D30" s="42">
        <f>D27+D28+D29</f>
        <v/>
      </c>
      <c r="E30" s="42">
        <f>E27+E28+E29</f>
        <v/>
      </c>
      <c r="F30" s="42">
        <f>F27+F28+F29</f>
        <v/>
      </c>
      <c r="G30" s="42">
        <f>G27+G28+G29</f>
        <v/>
      </c>
      <c r="H30" s="42">
        <f>H27+H28+H29</f>
        <v/>
      </c>
      <c r="I30" s="42">
        <f>I27+I28+I29</f>
        <v/>
      </c>
      <c r="J30" s="42">
        <f>J27+J28+J29</f>
        <v/>
      </c>
      <c r="K30" s="42">
        <f>K27+K28+K29</f>
        <v/>
      </c>
      <c r="L30" s="42">
        <f>L27+L28+L29</f>
        <v/>
      </c>
      <c r="M30" s="42">
        <f>M27+M28+M29</f>
        <v/>
      </c>
      <c r="N30" s="42">
        <f>N27+N28+N29</f>
        <v/>
      </c>
      <c r="O30" s="42">
        <f>O27+O28+O29</f>
        <v/>
      </c>
      <c r="P30" s="42">
        <f>P27+P28+P29</f>
        <v/>
      </c>
      <c r="Q30" s="42">
        <f>Q27+Q28+Q29</f>
        <v/>
      </c>
      <c r="R30" s="41">
        <f>SUM(C30:Q30)</f>
        <v/>
      </c>
    </row>
    <row r="31">
      <c r="A31" s="10" t="inlineStr">
        <is>
          <t>New subscribers</t>
        </is>
      </c>
      <c r="C31" s="40">
        <f>C30*in_SubShare</f>
        <v/>
      </c>
      <c r="D31" s="40">
        <f>D30*in_SubShare</f>
        <v/>
      </c>
      <c r="E31" s="40">
        <f>E30*in_SubShare</f>
        <v/>
      </c>
      <c r="F31" s="40">
        <f>F30*in_SubShare</f>
        <v/>
      </c>
      <c r="G31" s="40">
        <f>G30*in_SubShare</f>
        <v/>
      </c>
      <c r="H31" s="40">
        <f>H30*in_SubShare</f>
        <v/>
      </c>
      <c r="I31" s="40">
        <f>I30*in_SubShare</f>
        <v/>
      </c>
      <c r="J31" s="40">
        <f>J30*in_SubShare</f>
        <v/>
      </c>
      <c r="K31" s="40">
        <f>K30*in_SubShare</f>
        <v/>
      </c>
      <c r="L31" s="40">
        <f>L30*in_SubShare</f>
        <v/>
      </c>
      <c r="M31" s="40">
        <f>M30*in_SubShare</f>
        <v/>
      </c>
      <c r="N31" s="40">
        <f>N30*in_SubShare</f>
        <v/>
      </c>
      <c r="O31" s="40">
        <f>O30*in_SubShare</f>
        <v/>
      </c>
      <c r="P31" s="40">
        <f>P30*in_SubShare</f>
        <v/>
      </c>
      <c r="Q31" s="40">
        <f>Q30*in_SubShare</f>
        <v/>
      </c>
      <c r="R31" s="41">
        <f>SUM(C31:Q31)</f>
        <v/>
      </c>
    </row>
    <row r="32">
      <c r="A32" s="10" t="inlineStr">
        <is>
          <t>Active subscribers, end of month (= subscription orders)</t>
        </is>
      </c>
      <c r="B32" s="6" t="inlineStr">
        <is>
          <t>1 pouch/month each</t>
        </is>
      </c>
      <c r="C32" s="40">
        <f>C31</f>
        <v/>
      </c>
      <c r="D32" s="40">
        <f>C32*(1-in_SubChurn)+D31</f>
        <v/>
      </c>
      <c r="E32" s="40">
        <f>D32*(1-in_SubChurn)+E31</f>
        <v/>
      </c>
      <c r="F32" s="40">
        <f>E32*(1-in_SubChurn)+F31</f>
        <v/>
      </c>
      <c r="G32" s="40">
        <f>F32*(1-in_SubChurn)+G31</f>
        <v/>
      </c>
      <c r="H32" s="40">
        <f>G32*(1-in_SubChurn)+H31</f>
        <v/>
      </c>
      <c r="I32" s="40">
        <f>H32*(1-in_SubChurn)+I31</f>
        <v/>
      </c>
      <c r="J32" s="40">
        <f>I32*(1-in_SubChurn)+J31</f>
        <v/>
      </c>
      <c r="K32" s="40">
        <f>J32*(1-in_SubChurn)+K31</f>
        <v/>
      </c>
      <c r="L32" s="40">
        <f>K32*(1-in_SubChurn)+L31</f>
        <v/>
      </c>
      <c r="M32" s="40">
        <f>L32*(1-in_SubChurn)+M31</f>
        <v/>
      </c>
      <c r="N32" s="40">
        <f>M32*(1-in_SubChurn)+N31</f>
        <v/>
      </c>
      <c r="O32" s="40">
        <f>N32*(1-in_SubChurn)+O31</f>
        <v/>
      </c>
      <c r="P32" s="40">
        <f>O32*(1-in_SubChurn)+P31</f>
        <v/>
      </c>
      <c r="Q32" s="40">
        <f>P32*(1-in_SubChurn)+Q31</f>
        <v/>
      </c>
    </row>
    <row r="33">
      <c r="A33" s="10" t="inlineStr">
        <is>
          <t>One-off first orders</t>
        </is>
      </c>
      <c r="C33" s="40">
        <f>C30*(1-in_SubShare)</f>
        <v/>
      </c>
      <c r="D33" s="40">
        <f>D30*(1-in_SubShare)</f>
        <v/>
      </c>
      <c r="E33" s="40">
        <f>E30*(1-in_SubShare)</f>
        <v/>
      </c>
      <c r="F33" s="40">
        <f>F30*(1-in_SubShare)</f>
        <v/>
      </c>
      <c r="G33" s="40">
        <f>G30*(1-in_SubShare)</f>
        <v/>
      </c>
      <c r="H33" s="40">
        <f>H30*(1-in_SubShare)</f>
        <v/>
      </c>
      <c r="I33" s="40">
        <f>I30*(1-in_SubShare)</f>
        <v/>
      </c>
      <c r="J33" s="40">
        <f>J30*(1-in_SubShare)</f>
        <v/>
      </c>
      <c r="K33" s="40">
        <f>K30*(1-in_SubShare)</f>
        <v/>
      </c>
      <c r="L33" s="40">
        <f>L30*(1-in_SubShare)</f>
        <v/>
      </c>
      <c r="M33" s="40">
        <f>M30*(1-in_SubShare)</f>
        <v/>
      </c>
      <c r="N33" s="40">
        <f>N30*(1-in_SubShare)</f>
        <v/>
      </c>
      <c r="O33" s="40">
        <f>O30*(1-in_SubShare)</f>
        <v/>
      </c>
      <c r="P33" s="40">
        <f>P30*(1-in_SubShare)</f>
        <v/>
      </c>
      <c r="Q33" s="40">
        <f>Q30*(1-in_SubShare)</f>
        <v/>
      </c>
      <c r="R33" s="41">
        <f>SUM(C33:Q33)</f>
        <v/>
      </c>
    </row>
    <row r="34">
      <c r="A34" s="10" t="inlineStr">
        <is>
          <t>One-off repeat orders</t>
        </is>
      </c>
      <c r="C34" s="40">
        <f>0</f>
        <v/>
      </c>
      <c r="D34" s="40">
        <f>C35*in_Repeat</f>
        <v/>
      </c>
      <c r="E34" s="40">
        <f>D35*in_Repeat</f>
        <v/>
      </c>
      <c r="F34" s="40">
        <f>E35*in_Repeat</f>
        <v/>
      </c>
      <c r="G34" s="40">
        <f>F35*in_Repeat</f>
        <v/>
      </c>
      <c r="H34" s="40">
        <f>G35*in_Repeat</f>
        <v/>
      </c>
      <c r="I34" s="40">
        <f>H35*in_Repeat</f>
        <v/>
      </c>
      <c r="J34" s="40">
        <f>I35*in_Repeat</f>
        <v/>
      </c>
      <c r="K34" s="40">
        <f>J35*in_Repeat</f>
        <v/>
      </c>
      <c r="L34" s="40">
        <f>K35*in_Repeat</f>
        <v/>
      </c>
      <c r="M34" s="40">
        <f>L35*in_Repeat</f>
        <v/>
      </c>
      <c r="N34" s="40">
        <f>M35*in_Repeat</f>
        <v/>
      </c>
      <c r="O34" s="40">
        <f>N35*in_Repeat</f>
        <v/>
      </c>
      <c r="P34" s="40">
        <f>O35*in_Repeat</f>
        <v/>
      </c>
      <c r="Q34" s="40">
        <f>P35*in_Repeat</f>
        <v/>
      </c>
      <c r="R34" s="41">
        <f>SUM(C34:Q34)</f>
        <v/>
      </c>
    </row>
    <row r="35">
      <c r="A35" s="26" t="inlineStr">
        <is>
          <t>Total one-off pouch orders</t>
        </is>
      </c>
      <c r="C35" s="42">
        <f>C33+C34</f>
        <v/>
      </c>
      <c r="D35" s="42">
        <f>D33+D34</f>
        <v/>
      </c>
      <c r="E35" s="42">
        <f>E33+E34</f>
        <v/>
      </c>
      <c r="F35" s="42">
        <f>F33+F34</f>
        <v/>
      </c>
      <c r="G35" s="42">
        <f>G33+G34</f>
        <v/>
      </c>
      <c r="H35" s="42">
        <f>H33+H34</f>
        <v/>
      </c>
      <c r="I35" s="42">
        <f>I33+I34</f>
        <v/>
      </c>
      <c r="J35" s="42">
        <f>J33+J34</f>
        <v/>
      </c>
      <c r="K35" s="42">
        <f>K33+K34</f>
        <v/>
      </c>
      <c r="L35" s="42">
        <f>L33+L34</f>
        <v/>
      </c>
      <c r="M35" s="42">
        <f>M33+M34</f>
        <v/>
      </c>
      <c r="N35" s="42">
        <f>N33+N34</f>
        <v/>
      </c>
      <c r="O35" s="42">
        <f>O33+O34</f>
        <v/>
      </c>
      <c r="P35" s="42">
        <f>P33+P34</f>
        <v/>
      </c>
      <c r="Q35" s="42">
        <f>Q33+Q34</f>
        <v/>
      </c>
      <c r="R35" s="41">
        <f>SUM(C35:Q35)</f>
        <v/>
      </c>
    </row>
    <row r="36">
      <c r="A36" s="26" t="inlineStr">
        <is>
          <t>Total DTC pouch orders (one-off + subscription)</t>
        </is>
      </c>
      <c r="C36" s="42">
        <f>C35+C32</f>
        <v/>
      </c>
      <c r="D36" s="42">
        <f>D35+D32</f>
        <v/>
      </c>
      <c r="E36" s="42">
        <f>E35+E32</f>
        <v/>
      </c>
      <c r="F36" s="42">
        <f>F35+F32</f>
        <v/>
      </c>
      <c r="G36" s="42">
        <f>G35+G32</f>
        <v/>
      </c>
      <c r="H36" s="42">
        <f>H35+H32</f>
        <v/>
      </c>
      <c r="I36" s="42">
        <f>I35+I32</f>
        <v/>
      </c>
      <c r="J36" s="42">
        <f>J35+J32</f>
        <v/>
      </c>
      <c r="K36" s="42">
        <f>K35+K32</f>
        <v/>
      </c>
      <c r="L36" s="42">
        <f>L35+L32</f>
        <v/>
      </c>
      <c r="M36" s="42">
        <f>M35+M32</f>
        <v/>
      </c>
      <c r="N36" s="42">
        <f>N35+N32</f>
        <v/>
      </c>
      <c r="O36" s="42">
        <f>O35+O32</f>
        <v/>
      </c>
      <c r="P36" s="42">
        <f>P35+P32</f>
        <v/>
      </c>
      <c r="Q36" s="42">
        <f>Q35+Q32</f>
        <v/>
      </c>
      <c r="R36" s="41">
        <f>SUM(C36:Q36)</f>
        <v/>
      </c>
    </row>
    <row r="37">
      <c r="A37" s="10" t="inlineStr">
        <is>
          <t>DTC stick-box orders</t>
        </is>
      </c>
      <c r="C37" s="40">
        <f>C36*in_StickAttach</f>
        <v/>
      </c>
      <c r="D37" s="40">
        <f>D36*in_StickAttach</f>
        <v/>
      </c>
      <c r="E37" s="40">
        <f>E36*in_StickAttach</f>
        <v/>
      </c>
      <c r="F37" s="40">
        <f>F36*in_StickAttach</f>
        <v/>
      </c>
      <c r="G37" s="40">
        <f>G36*in_StickAttach</f>
        <v/>
      </c>
      <c r="H37" s="40">
        <f>H36*in_StickAttach</f>
        <v/>
      </c>
      <c r="I37" s="40">
        <f>I36*in_StickAttach</f>
        <v/>
      </c>
      <c r="J37" s="40">
        <f>J36*in_StickAttach</f>
        <v/>
      </c>
      <c r="K37" s="40">
        <f>K36*in_StickAttach</f>
        <v/>
      </c>
      <c r="L37" s="40">
        <f>L36*in_StickAttach</f>
        <v/>
      </c>
      <c r="M37" s="40">
        <f>M36*in_StickAttach</f>
        <v/>
      </c>
      <c r="N37" s="40">
        <f>N36*in_StickAttach</f>
        <v/>
      </c>
      <c r="O37" s="40">
        <f>O36*in_StickAttach</f>
        <v/>
      </c>
      <c r="P37" s="40">
        <f>P36*in_StickAttach</f>
        <v/>
      </c>
      <c r="Q37" s="40">
        <f>Q36*in_StickAttach</f>
        <v/>
      </c>
      <c r="R37" s="41">
        <f>SUM(C37:Q37)</f>
        <v/>
      </c>
    </row>
    <row r="39">
      <c r="A39" s="7" t="inlineStr">
        <is>
          <t>Wholesale (direct to stores)</t>
        </is>
      </c>
      <c r="B39" s="8" t="n"/>
      <c r="C39" s="8" t="n"/>
      <c r="D39" s="8" t="n"/>
      <c r="E39" s="8" t="n"/>
      <c r="F39" s="8" t="n"/>
      <c r="G39" s="8" t="n"/>
      <c r="H39" s="8" t="n"/>
      <c r="I39" s="8" t="n"/>
      <c r="J39" s="8" t="n"/>
      <c r="K39" s="8" t="n"/>
      <c r="L39" s="8" t="n"/>
      <c r="M39" s="8" t="n"/>
      <c r="N39" s="8" t="n"/>
      <c r="O39" s="8" t="n"/>
      <c r="P39" s="8" t="n"/>
      <c r="Q39" s="8" t="n"/>
      <c r="R39" s="8" t="n"/>
    </row>
    <row r="40">
      <c r="A40" s="10" t="inlineStr">
        <is>
          <t>New store accounts</t>
        </is>
      </c>
      <c r="C40" s="40">
        <f>IFERROR(INDEX(Inputs!$D$98:$D$107,MATCH(C$23,Inputs!$A$98:$A$107,0)),0)*$B$4*C24</f>
        <v/>
      </c>
      <c r="D40" s="40">
        <f>IFERROR(INDEX(Inputs!$D$98:$D$107,MATCH(D$23,Inputs!$A$98:$A$107,0)),0)*$B$4*D24</f>
        <v/>
      </c>
      <c r="E40" s="40">
        <f>IFERROR(INDEX(Inputs!$D$98:$D$107,MATCH(E$23,Inputs!$A$98:$A$107,0)),0)*$B$4*E24</f>
        <v/>
      </c>
      <c r="F40" s="40">
        <f>IFERROR(INDEX(Inputs!$D$98:$D$107,MATCH(F$23,Inputs!$A$98:$A$107,0)),0)*$B$4*F24</f>
        <v/>
      </c>
      <c r="G40" s="40">
        <f>IFERROR(INDEX(Inputs!$D$98:$D$107,MATCH(G$23,Inputs!$A$98:$A$107,0)),0)*$B$4*G24</f>
        <v/>
      </c>
      <c r="H40" s="40">
        <f>IFERROR(INDEX(Inputs!$D$98:$D$107,MATCH(H$23,Inputs!$A$98:$A$107,0)),0)*$B$4*H24</f>
        <v/>
      </c>
      <c r="I40" s="40">
        <f>IFERROR(INDEX(Inputs!$D$98:$D$107,MATCH(I$23,Inputs!$A$98:$A$107,0)),0)*$B$4*I24</f>
        <v/>
      </c>
      <c r="J40" s="40">
        <f>IFERROR(INDEX(Inputs!$D$98:$D$107,MATCH(J$23,Inputs!$A$98:$A$107,0)),0)*$B$4*J24</f>
        <v/>
      </c>
      <c r="K40" s="40">
        <f>IFERROR(INDEX(Inputs!$D$98:$D$107,MATCH(K$23,Inputs!$A$98:$A$107,0)),0)*$B$4*K24</f>
        <v/>
      </c>
      <c r="L40" s="40">
        <f>IFERROR(INDEX(Inputs!$D$98:$D$107,MATCH(L$23,Inputs!$A$98:$A$107,0)),0)*$B$4*L24</f>
        <v/>
      </c>
      <c r="M40" s="40">
        <f>IFERROR(INDEX(Inputs!$D$98:$D$107,MATCH(M$23,Inputs!$A$98:$A$107,0)),0)*$B$4*M24</f>
        <v/>
      </c>
      <c r="N40" s="40">
        <f>IFERROR(INDEX(Inputs!$D$98:$D$107,MATCH(N$23,Inputs!$A$98:$A$107,0)),0)*$B$4*N24</f>
        <v/>
      </c>
      <c r="O40" s="40">
        <f>IFERROR(INDEX(Inputs!$D$98:$D$107,MATCH(O$23,Inputs!$A$98:$A$107,0)),0)*$B$4*O24</f>
        <v/>
      </c>
      <c r="P40" s="40">
        <f>IFERROR(INDEX(Inputs!$D$98:$D$107,MATCH(P$23,Inputs!$A$98:$A$107,0)),0)*$B$4*P24</f>
        <v/>
      </c>
      <c r="Q40" s="40">
        <f>IFERROR(INDEX(Inputs!$D$98:$D$107,MATCH(Q$23,Inputs!$A$98:$A$107,0)),0)*$B$4*Q24</f>
        <v/>
      </c>
      <c r="R40" s="41">
        <f>SUM(C40:Q40)</f>
        <v/>
      </c>
    </row>
    <row r="41">
      <c r="A41" s="10" t="inlineStr">
        <is>
          <t>Active store accounts, end of month</t>
        </is>
      </c>
      <c r="C41" s="40">
        <f>C40</f>
        <v/>
      </c>
      <c r="D41" s="40">
        <f>C41*(1-in_StoreChurn)+D40</f>
        <v/>
      </c>
      <c r="E41" s="40">
        <f>D41*(1-in_StoreChurn)+E40</f>
        <v/>
      </c>
      <c r="F41" s="40">
        <f>E41*(1-in_StoreChurn)+F40</f>
        <v/>
      </c>
      <c r="G41" s="40">
        <f>F41*(1-in_StoreChurn)+G40</f>
        <v/>
      </c>
      <c r="H41" s="40">
        <f>G41*(1-in_StoreChurn)+H40</f>
        <v/>
      </c>
      <c r="I41" s="40">
        <f>H41*(1-in_StoreChurn)+I40</f>
        <v/>
      </c>
      <c r="J41" s="40">
        <f>I41*(1-in_StoreChurn)+J40</f>
        <v/>
      </c>
      <c r="K41" s="40">
        <f>J41*(1-in_StoreChurn)+K40</f>
        <v/>
      </c>
      <c r="L41" s="40">
        <f>K41*(1-in_StoreChurn)+L40</f>
        <v/>
      </c>
      <c r="M41" s="40">
        <f>L41*(1-in_StoreChurn)+M40</f>
        <v/>
      </c>
      <c r="N41" s="40">
        <f>M41*(1-in_StoreChurn)+N40</f>
        <v/>
      </c>
      <c r="O41" s="40">
        <f>N41*(1-in_StoreChurn)+O40</f>
        <v/>
      </c>
      <c r="P41" s="40">
        <f>O41*(1-in_StoreChurn)+P40</f>
        <v/>
      </c>
      <c r="Q41" s="40">
        <f>P41*(1-in_StoreChurn)+Q40</f>
        <v/>
      </c>
    </row>
    <row r="42">
      <c r="A42" s="10" t="inlineStr">
        <is>
          <t>Wholesale pouches shipped</t>
        </is>
      </c>
      <c r="C42" s="40">
        <f>C41*in_PouchPerStore</f>
        <v/>
      </c>
      <c r="D42" s="40">
        <f>D41*in_PouchPerStore</f>
        <v/>
      </c>
      <c r="E42" s="40">
        <f>E41*in_PouchPerStore</f>
        <v/>
      </c>
      <c r="F42" s="40">
        <f>F41*in_PouchPerStore</f>
        <v/>
      </c>
      <c r="G42" s="40">
        <f>G41*in_PouchPerStore</f>
        <v/>
      </c>
      <c r="H42" s="40">
        <f>H41*in_PouchPerStore</f>
        <v/>
      </c>
      <c r="I42" s="40">
        <f>I41*in_PouchPerStore</f>
        <v/>
      </c>
      <c r="J42" s="40">
        <f>J41*in_PouchPerStore</f>
        <v/>
      </c>
      <c r="K42" s="40">
        <f>K41*in_PouchPerStore</f>
        <v/>
      </c>
      <c r="L42" s="40">
        <f>L41*in_PouchPerStore</f>
        <v/>
      </c>
      <c r="M42" s="40">
        <f>M41*in_PouchPerStore</f>
        <v/>
      </c>
      <c r="N42" s="40">
        <f>N41*in_PouchPerStore</f>
        <v/>
      </c>
      <c r="O42" s="40">
        <f>O41*in_PouchPerStore</f>
        <v/>
      </c>
      <c r="P42" s="40">
        <f>P41*in_PouchPerStore</f>
        <v/>
      </c>
      <c r="Q42" s="40">
        <f>Q41*in_PouchPerStore</f>
        <v/>
      </c>
      <c r="R42" s="41">
        <f>SUM(C42:Q42)</f>
        <v/>
      </c>
    </row>
    <row r="43">
      <c r="A43" s="10" t="inlineStr">
        <is>
          <t>Wholesale sticks shipped</t>
        </is>
      </c>
      <c r="C43" s="40">
        <f>C41*in_StickPerStore</f>
        <v/>
      </c>
      <c r="D43" s="40">
        <f>D41*in_StickPerStore</f>
        <v/>
      </c>
      <c r="E43" s="40">
        <f>E41*in_StickPerStore</f>
        <v/>
      </c>
      <c r="F43" s="40">
        <f>F41*in_StickPerStore</f>
        <v/>
      </c>
      <c r="G43" s="40">
        <f>G41*in_StickPerStore</f>
        <v/>
      </c>
      <c r="H43" s="40">
        <f>H41*in_StickPerStore</f>
        <v/>
      </c>
      <c r="I43" s="40">
        <f>I41*in_StickPerStore</f>
        <v/>
      </c>
      <c r="J43" s="40">
        <f>J41*in_StickPerStore</f>
        <v/>
      </c>
      <c r="K43" s="40">
        <f>K41*in_StickPerStore</f>
        <v/>
      </c>
      <c r="L43" s="40">
        <f>L41*in_StickPerStore</f>
        <v/>
      </c>
      <c r="M43" s="40">
        <f>M41*in_StickPerStore</f>
        <v/>
      </c>
      <c r="N43" s="40">
        <f>N41*in_StickPerStore</f>
        <v/>
      </c>
      <c r="O43" s="40">
        <f>O41*in_StickPerStore</f>
        <v/>
      </c>
      <c r="P43" s="40">
        <f>P41*in_StickPerStore</f>
        <v/>
      </c>
      <c r="Q43" s="40">
        <f>Q41*in_StickPerStore</f>
        <v/>
      </c>
      <c r="R43" s="41">
        <f>SUM(C43:Q43)</f>
        <v/>
      </c>
    </row>
    <row r="45">
      <c r="A45" s="7" t="inlineStr">
        <is>
          <t>Pouch inventory (units)</t>
        </is>
      </c>
      <c r="B45" s="8" t="n"/>
      <c r="C45" s="8" t="n"/>
      <c r="D45" s="8" t="n"/>
      <c r="E45" s="8" t="n"/>
      <c r="F45" s="8" t="n"/>
      <c r="G45" s="8" t="n"/>
      <c r="H45" s="8" t="n"/>
      <c r="I45" s="8" t="n"/>
      <c r="J45" s="8" t="n"/>
      <c r="K45" s="8" t="n"/>
      <c r="L45" s="8" t="n"/>
      <c r="M45" s="8" t="n"/>
      <c r="N45" s="8" t="n"/>
      <c r="O45" s="8" t="n"/>
      <c r="P45" s="8" t="n"/>
      <c r="Q45" s="8" t="n"/>
      <c r="R45" s="8" t="n"/>
    </row>
    <row r="46">
      <c r="A46" s="10" t="inlineStr">
        <is>
          <t>Pouch demand</t>
        </is>
      </c>
      <c r="C46" s="43">
        <f>C36*in_PouchPerOrder+C42</f>
        <v/>
      </c>
      <c r="D46" s="43">
        <f>D36*in_PouchPerOrder+D42</f>
        <v/>
      </c>
      <c r="E46" s="43">
        <f>E36*in_PouchPerOrder+E42</f>
        <v/>
      </c>
      <c r="F46" s="43">
        <f>F36*in_PouchPerOrder+F42</f>
        <v/>
      </c>
      <c r="G46" s="43">
        <f>G36*in_PouchPerOrder+G42</f>
        <v/>
      </c>
      <c r="H46" s="43">
        <f>H36*in_PouchPerOrder+H42</f>
        <v/>
      </c>
      <c r="I46" s="43">
        <f>I36*in_PouchPerOrder+I42</f>
        <v/>
      </c>
      <c r="J46" s="43">
        <f>J36*in_PouchPerOrder+J42</f>
        <v/>
      </c>
      <c r="K46" s="43">
        <f>K36*in_PouchPerOrder+K42</f>
        <v/>
      </c>
      <c r="L46" s="43">
        <f>L36*in_PouchPerOrder+L42</f>
        <v/>
      </c>
      <c r="M46" s="43">
        <f>M36*in_PouchPerOrder+M42</f>
        <v/>
      </c>
      <c r="N46" s="43">
        <f>N36*in_PouchPerOrder+N42</f>
        <v/>
      </c>
      <c r="O46" s="43">
        <f>O36*in_PouchPerOrder+O42</f>
        <v/>
      </c>
      <c r="P46" s="43">
        <f>P36*in_PouchPerOrder+P42</f>
        <v/>
      </c>
      <c r="Q46" s="43">
        <f>Q36*in_PouchPerOrder+Q42</f>
        <v/>
      </c>
      <c r="R46" s="44">
        <f>SUM(C46:Q46)</f>
        <v/>
      </c>
    </row>
    <row r="47">
      <c r="A47" s="10" t="inlineStr">
        <is>
          <t>Opening stock</t>
        </is>
      </c>
      <c r="C47" s="43">
        <f>0</f>
        <v/>
      </c>
      <c r="D47" s="43">
        <f>C55</f>
        <v/>
      </c>
      <c r="E47" s="43">
        <f>D55</f>
        <v/>
      </c>
      <c r="F47" s="43">
        <f>E55</f>
        <v/>
      </c>
      <c r="G47" s="43">
        <f>F55</f>
        <v/>
      </c>
      <c r="H47" s="43">
        <f>G55</f>
        <v/>
      </c>
      <c r="I47" s="43">
        <f>H55</f>
        <v/>
      </c>
      <c r="J47" s="43">
        <f>I55</f>
        <v/>
      </c>
      <c r="K47" s="43">
        <f>J55</f>
        <v/>
      </c>
      <c r="L47" s="43">
        <f>K55</f>
        <v/>
      </c>
      <c r="M47" s="43">
        <f>L55</f>
        <v/>
      </c>
      <c r="N47" s="43">
        <f>M55</f>
        <v/>
      </c>
      <c r="O47" s="43">
        <f>N55</f>
        <v/>
      </c>
      <c r="P47" s="43">
        <f>O55</f>
        <v/>
      </c>
      <c r="Q47" s="43">
        <f>P55</f>
        <v/>
      </c>
    </row>
    <row r="48">
      <c r="A48" s="10" t="inlineStr">
        <is>
          <t>First run received</t>
        </is>
      </c>
      <c r="C48" s="43">
        <f>IF(EOMONTH(in_FirstShip,0)=EOMONTH(C$23,0),$B$8,0)</f>
        <v/>
      </c>
      <c r="D48" s="43">
        <f>IF(EOMONTH(in_FirstShip,0)=EOMONTH(D$23,0),$B$8,0)</f>
        <v/>
      </c>
      <c r="E48" s="43">
        <f>IF(EOMONTH(in_FirstShip,0)=EOMONTH(E$23,0),$B$8,0)</f>
        <v/>
      </c>
      <c r="F48" s="43">
        <f>IF(EOMONTH(in_FirstShip,0)=EOMONTH(F$23,0),$B$8,0)</f>
        <v/>
      </c>
      <c r="G48" s="43">
        <f>IF(EOMONTH(in_FirstShip,0)=EOMONTH(G$23,0),$B$8,0)</f>
        <v/>
      </c>
      <c r="H48" s="43">
        <f>IF(EOMONTH(in_FirstShip,0)=EOMONTH(H$23,0),$B$8,0)</f>
        <v/>
      </c>
      <c r="I48" s="43">
        <f>IF(EOMONTH(in_FirstShip,0)=EOMONTH(I$23,0),$B$8,0)</f>
        <v/>
      </c>
      <c r="J48" s="43">
        <f>IF(EOMONTH(in_FirstShip,0)=EOMONTH(J$23,0),$B$8,0)</f>
        <v/>
      </c>
      <c r="K48" s="43">
        <f>IF(EOMONTH(in_FirstShip,0)=EOMONTH(K$23,0),$B$8,0)</f>
        <v/>
      </c>
      <c r="L48" s="43">
        <f>IF(EOMONTH(in_FirstShip,0)=EOMONTH(L$23,0),$B$8,0)</f>
        <v/>
      </c>
      <c r="M48" s="43">
        <f>IF(EOMONTH(in_FirstShip,0)=EOMONTH(M$23,0),$B$8,0)</f>
        <v/>
      </c>
      <c r="N48" s="43">
        <f>IF(EOMONTH(in_FirstShip,0)=EOMONTH(N$23,0),$B$8,0)</f>
        <v/>
      </c>
      <c r="O48" s="43">
        <f>IF(EOMONTH(in_FirstShip,0)=EOMONTH(O$23,0),$B$8,0)</f>
        <v/>
      </c>
      <c r="P48" s="43">
        <f>IF(EOMONTH(in_FirstShip,0)=EOMONTH(P$23,0),$B$8,0)</f>
        <v/>
      </c>
      <c r="Q48" s="43">
        <f>IF(EOMONTH(in_FirstShip,0)=EOMONTH(Q$23,0),$B$8,0)</f>
        <v/>
      </c>
      <c r="R48" s="44">
        <f>SUM(C48:Q48)</f>
        <v/>
      </c>
    </row>
    <row r="49">
      <c r="A49" s="10" t="inlineStr">
        <is>
          <t>Second flavour first run received</t>
        </is>
      </c>
      <c r="C49" s="43">
        <f>IF(AND(in_Flavor2On=1,EOMONTH(in_Flavor2Run,0)=EOMONTH(C$23,0)),$B$8,0)</f>
        <v/>
      </c>
      <c r="D49" s="43">
        <f>IF(AND(in_Flavor2On=1,EOMONTH(in_Flavor2Run,0)=EOMONTH(D$23,0)),$B$8,0)</f>
        <v/>
      </c>
      <c r="E49" s="43">
        <f>IF(AND(in_Flavor2On=1,EOMONTH(in_Flavor2Run,0)=EOMONTH(E$23,0)),$B$8,0)</f>
        <v/>
      </c>
      <c r="F49" s="43">
        <f>IF(AND(in_Flavor2On=1,EOMONTH(in_Flavor2Run,0)=EOMONTH(F$23,0)),$B$8,0)</f>
        <v/>
      </c>
      <c r="G49" s="43">
        <f>IF(AND(in_Flavor2On=1,EOMONTH(in_Flavor2Run,0)=EOMONTH(G$23,0)),$B$8,0)</f>
        <v/>
      </c>
      <c r="H49" s="43">
        <f>IF(AND(in_Flavor2On=1,EOMONTH(in_Flavor2Run,0)=EOMONTH(H$23,0)),$B$8,0)</f>
        <v/>
      </c>
      <c r="I49" s="43">
        <f>IF(AND(in_Flavor2On=1,EOMONTH(in_Flavor2Run,0)=EOMONTH(I$23,0)),$B$8,0)</f>
        <v/>
      </c>
      <c r="J49" s="43">
        <f>IF(AND(in_Flavor2On=1,EOMONTH(in_Flavor2Run,0)=EOMONTH(J$23,0)),$B$8,0)</f>
        <v/>
      </c>
      <c r="K49" s="43">
        <f>IF(AND(in_Flavor2On=1,EOMONTH(in_Flavor2Run,0)=EOMONTH(K$23,0)),$B$8,0)</f>
        <v/>
      </c>
      <c r="L49" s="43">
        <f>IF(AND(in_Flavor2On=1,EOMONTH(in_Flavor2Run,0)=EOMONTH(L$23,0)),$B$8,0)</f>
        <v/>
      </c>
      <c r="M49" s="43">
        <f>IF(AND(in_Flavor2On=1,EOMONTH(in_Flavor2Run,0)=EOMONTH(M$23,0)),$B$8,0)</f>
        <v/>
      </c>
      <c r="N49" s="43">
        <f>IF(AND(in_Flavor2On=1,EOMONTH(in_Flavor2Run,0)=EOMONTH(N$23,0)),$B$8,0)</f>
        <v/>
      </c>
      <c r="O49" s="43">
        <f>IF(AND(in_Flavor2On=1,EOMONTH(in_Flavor2Run,0)=EOMONTH(O$23,0)),$B$8,0)</f>
        <v/>
      </c>
      <c r="P49" s="43">
        <f>IF(AND(in_Flavor2On=1,EOMONTH(in_Flavor2Run,0)=EOMONTH(P$23,0)),$B$8,0)</f>
        <v/>
      </c>
      <c r="Q49" s="43">
        <f>IF(AND(in_Flavor2On=1,EOMONTH(in_Flavor2Run,0)=EOMONTH(Q$23,0)),$B$8,0)</f>
        <v/>
      </c>
      <c r="R49" s="44">
        <f>SUM(C49:Q49)</f>
        <v/>
      </c>
    </row>
    <row r="50">
      <c r="A50" s="10" t="inlineStr">
        <is>
          <t>Reorders received (placed lead-time months earlier)</t>
        </is>
      </c>
      <c r="B50" s="6" t="inlineStr">
        <is>
          <t>Lead-time input</t>
        </is>
      </c>
      <c r="C50" s="43">
        <f>IF(in_Lead=1,0,IF(in_Lead=2,0,IF(in_Lead=3,0,0)))</f>
        <v/>
      </c>
      <c r="D50" s="43">
        <f>IF(in_Lead=1,C52,IF(in_Lead=2,0,IF(in_Lead=3,0,0)))</f>
        <v/>
      </c>
      <c r="E50" s="43">
        <f>IF(in_Lead=1,D52,IF(in_Lead=2,C52,IF(in_Lead=3,0,0)))</f>
        <v/>
      </c>
      <c r="F50" s="43">
        <f>IF(in_Lead=1,E52,IF(in_Lead=2,D52,IF(in_Lead=3,C52,0)))</f>
        <v/>
      </c>
      <c r="G50" s="43">
        <f>IF(in_Lead=1,F52,IF(in_Lead=2,E52,IF(in_Lead=3,D52,0)))</f>
        <v/>
      </c>
      <c r="H50" s="43">
        <f>IF(in_Lead=1,G52,IF(in_Lead=2,F52,IF(in_Lead=3,E52,0)))</f>
        <v/>
      </c>
      <c r="I50" s="43">
        <f>IF(in_Lead=1,H52,IF(in_Lead=2,G52,IF(in_Lead=3,F52,0)))</f>
        <v/>
      </c>
      <c r="J50" s="43">
        <f>IF(in_Lead=1,I52,IF(in_Lead=2,H52,IF(in_Lead=3,G52,0)))</f>
        <v/>
      </c>
      <c r="K50" s="43">
        <f>IF(in_Lead=1,J52,IF(in_Lead=2,I52,IF(in_Lead=3,H52,0)))</f>
        <v/>
      </c>
      <c r="L50" s="43">
        <f>IF(in_Lead=1,K52,IF(in_Lead=2,J52,IF(in_Lead=3,I52,0)))</f>
        <v/>
      </c>
      <c r="M50" s="43">
        <f>IF(in_Lead=1,L52,IF(in_Lead=2,K52,IF(in_Lead=3,J52,0)))</f>
        <v/>
      </c>
      <c r="N50" s="43">
        <f>IF(in_Lead=1,M52,IF(in_Lead=2,L52,IF(in_Lead=3,K52,0)))</f>
        <v/>
      </c>
      <c r="O50" s="43">
        <f>IF(in_Lead=1,N52,IF(in_Lead=2,M52,IF(in_Lead=3,L52,0)))</f>
        <v/>
      </c>
      <c r="P50" s="43">
        <f>IF(in_Lead=1,O52,IF(in_Lead=2,N52,IF(in_Lead=3,M52,0)))</f>
        <v/>
      </c>
      <c r="Q50" s="43">
        <f>IF(in_Lead=1,P52,IF(in_Lead=2,O52,IF(in_Lead=3,N52,0)))</f>
        <v/>
      </c>
      <c r="R50" s="44">
        <f>SUM(C50:Q50)</f>
        <v/>
      </c>
    </row>
    <row r="51">
      <c r="A51" s="10" t="inlineStr">
        <is>
          <t>On order, still in transit after this month</t>
        </is>
      </c>
      <c r="C51" s="43">
        <f>IF(in_Lead&gt;=2,0,0)+IF(in_Lead&gt;=3,0,0)</f>
        <v/>
      </c>
      <c r="D51" s="43">
        <f>IF(in_Lead&gt;=2,C52,0)+IF(in_Lead&gt;=3,0,0)</f>
        <v/>
      </c>
      <c r="E51" s="43">
        <f>IF(in_Lead&gt;=2,D52,0)+IF(in_Lead&gt;=3,C52,0)</f>
        <v/>
      </c>
      <c r="F51" s="43">
        <f>IF(in_Lead&gt;=2,E52,0)+IF(in_Lead&gt;=3,D52,0)</f>
        <v/>
      </c>
      <c r="G51" s="43">
        <f>IF(in_Lead&gt;=2,F52,0)+IF(in_Lead&gt;=3,E52,0)</f>
        <v/>
      </c>
      <c r="H51" s="43">
        <f>IF(in_Lead&gt;=2,G52,0)+IF(in_Lead&gt;=3,F52,0)</f>
        <v/>
      </c>
      <c r="I51" s="43">
        <f>IF(in_Lead&gt;=2,H52,0)+IF(in_Lead&gt;=3,G52,0)</f>
        <v/>
      </c>
      <c r="J51" s="43">
        <f>IF(in_Lead&gt;=2,I52,0)+IF(in_Lead&gt;=3,H52,0)</f>
        <v/>
      </c>
      <c r="K51" s="43">
        <f>IF(in_Lead&gt;=2,J52,0)+IF(in_Lead&gt;=3,I52,0)</f>
        <v/>
      </c>
      <c r="L51" s="43">
        <f>IF(in_Lead&gt;=2,K52,0)+IF(in_Lead&gt;=3,J52,0)</f>
        <v/>
      </c>
      <c r="M51" s="43">
        <f>IF(in_Lead&gt;=2,L52,0)+IF(in_Lead&gt;=3,K52,0)</f>
        <v/>
      </c>
      <c r="N51" s="43">
        <f>IF(in_Lead&gt;=2,M52,0)+IF(in_Lead&gt;=3,L52,0)</f>
        <v/>
      </c>
      <c r="O51" s="43">
        <f>IF(in_Lead&gt;=2,N52,0)+IF(in_Lead&gt;=3,M52,0)</f>
        <v/>
      </c>
      <c r="P51" s="43">
        <f>IF(in_Lead&gt;=2,O52,0)+IF(in_Lead&gt;=3,N52,0)</f>
        <v/>
      </c>
      <c r="Q51" s="43">
        <f>IF(in_Lead&gt;=2,P52,0)+IF(in_Lead&gt;=3,O52,0)</f>
        <v/>
      </c>
    </row>
    <row r="52">
      <c r="A52" s="10" t="inlineStr">
        <is>
          <t>Reorder placed and paid (stock + on order below reorder point)</t>
        </is>
      </c>
      <c r="B52" s="6" t="inlineStr">
        <is>
          <t>Paid when placed</t>
        </is>
      </c>
      <c r="C52" s="43">
        <f>IF(C24=1,IF(C47+C48+C49+C50+C51&lt;C46*in_Cover,ROUNDUP((C46*in_Cover-(C47+C48+C49+C50+C51))/$B$8,0)*$B$8,0),0)</f>
        <v/>
      </c>
      <c r="D52" s="43">
        <f>IF(D24=1,IF(D47+D48+D49+D50+D51&lt;D46*in_Cover,ROUNDUP((D46*in_Cover-(D47+D48+D49+D50+D51))/$B$8,0)*$B$8,0),0)</f>
        <v/>
      </c>
      <c r="E52" s="43">
        <f>IF(E24=1,IF(E47+E48+E49+E50+E51&lt;E46*in_Cover,ROUNDUP((E46*in_Cover-(E47+E48+E49+E50+E51))/$B$8,0)*$B$8,0),0)</f>
        <v/>
      </c>
      <c r="F52" s="43">
        <f>IF(F24=1,IF(F47+F48+F49+F50+F51&lt;F46*in_Cover,ROUNDUP((F46*in_Cover-(F47+F48+F49+F50+F51))/$B$8,0)*$B$8,0),0)</f>
        <v/>
      </c>
      <c r="G52" s="43">
        <f>IF(G24=1,IF(G47+G48+G49+G50+G51&lt;G46*in_Cover,ROUNDUP((G46*in_Cover-(G47+G48+G49+G50+G51))/$B$8,0)*$B$8,0),0)</f>
        <v/>
      </c>
      <c r="H52" s="43">
        <f>IF(H24=1,IF(H47+H48+H49+H50+H51&lt;H46*in_Cover,ROUNDUP((H46*in_Cover-(H47+H48+H49+H50+H51))/$B$8,0)*$B$8,0),0)</f>
        <v/>
      </c>
      <c r="I52" s="43">
        <f>IF(I24=1,IF(I47+I48+I49+I50+I51&lt;I46*in_Cover,ROUNDUP((I46*in_Cover-(I47+I48+I49+I50+I51))/$B$8,0)*$B$8,0),0)</f>
        <v/>
      </c>
      <c r="J52" s="43">
        <f>IF(J24=1,IF(J47+J48+J49+J50+J51&lt;J46*in_Cover,ROUNDUP((J46*in_Cover-(J47+J48+J49+J50+J51))/$B$8,0)*$B$8,0),0)</f>
        <v/>
      </c>
      <c r="K52" s="43">
        <f>IF(K24=1,IF(K47+K48+K49+K50+K51&lt;K46*in_Cover,ROUNDUP((K46*in_Cover-(K47+K48+K49+K50+K51))/$B$8,0)*$B$8,0),0)</f>
        <v/>
      </c>
      <c r="L52" s="43">
        <f>IF(L24=1,IF(L47+L48+L49+L50+L51&lt;L46*in_Cover,ROUNDUP((L46*in_Cover-(L47+L48+L49+L50+L51))/$B$8,0)*$B$8,0),0)</f>
        <v/>
      </c>
      <c r="M52" s="43">
        <f>IF(M24=1,IF(M47+M48+M49+M50+M51&lt;M46*in_Cover,ROUNDUP((M46*in_Cover-(M47+M48+M49+M50+M51))/$B$8,0)*$B$8,0),0)</f>
        <v/>
      </c>
      <c r="N52" s="43">
        <f>IF(N24=1,IF(N47+N48+N49+N50+N51&lt;N46*in_Cover,ROUNDUP((N46*in_Cover-(N47+N48+N49+N50+N51))/$B$8,0)*$B$8,0),0)</f>
        <v/>
      </c>
      <c r="O52" s="43">
        <f>IF(O24=1,IF(O47+O48+O49+O50+O51&lt;O46*in_Cover,ROUNDUP((O46*in_Cover-(O47+O48+O49+O50+O51))/$B$8,0)*$B$8,0),0)</f>
        <v/>
      </c>
      <c r="P52" s="43">
        <f>IF(P24=1,IF(P47+P48+P49+P50+P51&lt;P46*in_Cover,ROUNDUP((P46*in_Cover-(P47+P48+P49+P50+P51))/$B$8,0)*$B$8,0),0)</f>
        <v/>
      </c>
      <c r="Q52" s="43">
        <f>IF(Q24=1,IF(Q47+Q48+Q49+Q50+Q51&lt;Q46*in_Cover,ROUNDUP((Q46*in_Cover-(Q47+Q48+Q49+Q50+Q51))/$B$8,0)*$B$8,0),0)</f>
        <v/>
      </c>
      <c r="R52" s="44">
        <f>SUM(C52:Q52)</f>
        <v/>
      </c>
    </row>
    <row r="53">
      <c r="A53" s="10" t="inlineStr">
        <is>
          <t>Pouches sold</t>
        </is>
      </c>
      <c r="C53" s="43">
        <f>MIN(C46,C47+C48+C49+C50)</f>
        <v/>
      </c>
      <c r="D53" s="43">
        <f>MIN(D46,D47+D48+D49+D50)</f>
        <v/>
      </c>
      <c r="E53" s="43">
        <f>MIN(E46,E47+E48+E49+E50)</f>
        <v/>
      </c>
      <c r="F53" s="43">
        <f>MIN(F46,F47+F48+F49+F50)</f>
        <v/>
      </c>
      <c r="G53" s="43">
        <f>MIN(G46,G47+G48+G49+G50)</f>
        <v/>
      </c>
      <c r="H53" s="43">
        <f>MIN(H46,H47+H48+H49+H50)</f>
        <v/>
      </c>
      <c r="I53" s="43">
        <f>MIN(I46,I47+I48+I49+I50)</f>
        <v/>
      </c>
      <c r="J53" s="43">
        <f>MIN(J46,J47+J48+J49+J50)</f>
        <v/>
      </c>
      <c r="K53" s="43">
        <f>MIN(K46,K47+K48+K49+K50)</f>
        <v/>
      </c>
      <c r="L53" s="43">
        <f>MIN(L46,L47+L48+L49+L50)</f>
        <v/>
      </c>
      <c r="M53" s="43">
        <f>MIN(M46,M47+M48+M49+M50)</f>
        <v/>
      </c>
      <c r="N53" s="43">
        <f>MIN(N46,N47+N48+N49+N50)</f>
        <v/>
      </c>
      <c r="O53" s="43">
        <f>MIN(O46,O47+O48+O49+O50)</f>
        <v/>
      </c>
      <c r="P53" s="43">
        <f>MIN(P46,P47+P48+P49+P50)</f>
        <v/>
      </c>
      <c r="Q53" s="43">
        <f>MIN(Q46,Q47+Q48+Q49+Q50)</f>
        <v/>
      </c>
      <c r="R53" s="44">
        <f>SUM(C53:Q53)</f>
        <v/>
      </c>
    </row>
    <row r="54">
      <c r="A54" s="10" t="inlineStr">
        <is>
          <t>Pouch shortfall (check: should be 0)</t>
        </is>
      </c>
      <c r="B54" s="6" t="inlineStr">
        <is>
          <t>Must stay 0</t>
        </is>
      </c>
      <c r="C54" s="43">
        <f>C46-C53</f>
        <v/>
      </c>
      <c r="D54" s="43">
        <f>D46-D53</f>
        <v/>
      </c>
      <c r="E54" s="43">
        <f>E46-E53</f>
        <v/>
      </c>
      <c r="F54" s="43">
        <f>F46-F53</f>
        <v/>
      </c>
      <c r="G54" s="43">
        <f>G46-G53</f>
        <v/>
      </c>
      <c r="H54" s="43">
        <f>H46-H53</f>
        <v/>
      </c>
      <c r="I54" s="43">
        <f>I46-I53</f>
        <v/>
      </c>
      <c r="J54" s="43">
        <f>J46-J53</f>
        <v/>
      </c>
      <c r="K54" s="43">
        <f>K46-K53</f>
        <v/>
      </c>
      <c r="L54" s="43">
        <f>L46-L53</f>
        <v/>
      </c>
      <c r="M54" s="43">
        <f>M46-M53</f>
        <v/>
      </c>
      <c r="N54" s="43">
        <f>N46-N53</f>
        <v/>
      </c>
      <c r="O54" s="43">
        <f>O46-O53</f>
        <v/>
      </c>
      <c r="P54" s="43">
        <f>P46-P53</f>
        <v/>
      </c>
      <c r="Q54" s="43">
        <f>Q46-Q53</f>
        <v/>
      </c>
      <c r="R54" s="44">
        <f>SUM(C54:Q54)</f>
        <v/>
      </c>
    </row>
    <row r="55">
      <c r="A55" s="10" t="inlineStr">
        <is>
          <t>Closing stock</t>
        </is>
      </c>
      <c r="C55" s="43">
        <f>C47+C48+C49+C50-C53</f>
        <v/>
      </c>
      <c r="D55" s="43">
        <f>D47+D48+D49+D50-D53</f>
        <v/>
      </c>
      <c r="E55" s="43">
        <f>E47+E48+E49+E50-E53</f>
        <v/>
      </c>
      <c r="F55" s="43">
        <f>F47+F48+F49+F50-F53</f>
        <v/>
      </c>
      <c r="G55" s="43">
        <f>G47+G48+G49+G50-G53</f>
        <v/>
      </c>
      <c r="H55" s="43">
        <f>H47+H48+H49+H50-H53</f>
        <v/>
      </c>
      <c r="I55" s="43">
        <f>I47+I48+I49+I50-I53</f>
        <v/>
      </c>
      <c r="J55" s="43">
        <f>J47+J48+J49+J50-J53</f>
        <v/>
      </c>
      <c r="K55" s="43">
        <f>K47+K48+K49+K50-K53</f>
        <v/>
      </c>
      <c r="L55" s="43">
        <f>L47+L48+L49+L50-L53</f>
        <v/>
      </c>
      <c r="M55" s="43">
        <f>M47+M48+M49+M50-M53</f>
        <v/>
      </c>
      <c r="N55" s="43">
        <f>N47+N48+N49+N50-N53</f>
        <v/>
      </c>
      <c r="O55" s="43">
        <f>O47+O48+O49+O50-O53</f>
        <v/>
      </c>
      <c r="P55" s="43">
        <f>P47+P48+P49+P50-P53</f>
        <v/>
      </c>
      <c r="Q55" s="43">
        <f>Q47+Q48+Q49+Q50-Q53</f>
        <v/>
      </c>
    </row>
    <row r="57">
      <c r="A57" s="7" t="inlineStr">
        <is>
          <t>Protein stick inventory (units)</t>
        </is>
      </c>
      <c r="B57" s="8" t="n"/>
      <c r="C57" s="8" t="n"/>
      <c r="D57" s="8" t="n"/>
      <c r="E57" s="8" t="n"/>
      <c r="F57" s="8" t="n"/>
      <c r="G57" s="8" t="n"/>
      <c r="H57" s="8" t="n"/>
      <c r="I57" s="8" t="n"/>
      <c r="J57" s="8" t="n"/>
      <c r="K57" s="8" t="n"/>
      <c r="L57" s="8" t="n"/>
      <c r="M57" s="8" t="n"/>
      <c r="N57" s="8" t="n"/>
      <c r="O57" s="8" t="n"/>
      <c r="P57" s="8" t="n"/>
      <c r="Q57" s="8" t="n"/>
      <c r="R57" s="8" t="n"/>
    </row>
    <row r="58">
      <c r="A58" s="10" t="inlineStr">
        <is>
          <t>Stick demand</t>
        </is>
      </c>
      <c r="C58" s="43">
        <f>C37*in_SticksPerBox+C43</f>
        <v/>
      </c>
      <c r="D58" s="43">
        <f>D37*in_SticksPerBox+D43</f>
        <v/>
      </c>
      <c r="E58" s="43">
        <f>E37*in_SticksPerBox+E43</f>
        <v/>
      </c>
      <c r="F58" s="43">
        <f>F37*in_SticksPerBox+F43</f>
        <v/>
      </c>
      <c r="G58" s="43">
        <f>G37*in_SticksPerBox+G43</f>
        <v/>
      </c>
      <c r="H58" s="43">
        <f>H37*in_SticksPerBox+H43</f>
        <v/>
      </c>
      <c r="I58" s="43">
        <f>I37*in_SticksPerBox+I43</f>
        <v/>
      </c>
      <c r="J58" s="43">
        <f>J37*in_SticksPerBox+J43</f>
        <v/>
      </c>
      <c r="K58" s="43">
        <f>K37*in_SticksPerBox+K43</f>
        <v/>
      </c>
      <c r="L58" s="43">
        <f>L37*in_SticksPerBox+L43</f>
        <v/>
      </c>
      <c r="M58" s="43">
        <f>M37*in_SticksPerBox+M43</f>
        <v/>
      </c>
      <c r="N58" s="43">
        <f>N37*in_SticksPerBox+N43</f>
        <v/>
      </c>
      <c r="O58" s="43">
        <f>O37*in_SticksPerBox+O43</f>
        <v/>
      </c>
      <c r="P58" s="43">
        <f>P37*in_SticksPerBox+P43</f>
        <v/>
      </c>
      <c r="Q58" s="43">
        <f>Q37*in_SticksPerBox+Q43</f>
        <v/>
      </c>
      <c r="R58" s="44">
        <f>SUM(C58:Q58)</f>
        <v/>
      </c>
    </row>
    <row r="59">
      <c r="A59" s="10" t="inlineStr">
        <is>
          <t>Opening stock</t>
        </is>
      </c>
      <c r="C59" s="43">
        <f>0</f>
        <v/>
      </c>
      <c r="D59" s="43">
        <f>C66</f>
        <v/>
      </c>
      <c r="E59" s="43">
        <f>D66</f>
        <v/>
      </c>
      <c r="F59" s="43">
        <f>E66</f>
        <v/>
      </c>
      <c r="G59" s="43">
        <f>F66</f>
        <v/>
      </c>
      <c r="H59" s="43">
        <f>G66</f>
        <v/>
      </c>
      <c r="I59" s="43">
        <f>H66</f>
        <v/>
      </c>
      <c r="J59" s="43">
        <f>I66</f>
        <v/>
      </c>
      <c r="K59" s="43">
        <f>J66</f>
        <v/>
      </c>
      <c r="L59" s="43">
        <f>K66</f>
        <v/>
      </c>
      <c r="M59" s="43">
        <f>L66</f>
        <v/>
      </c>
      <c r="N59" s="43">
        <f>M66</f>
        <v/>
      </c>
      <c r="O59" s="43">
        <f>N66</f>
        <v/>
      </c>
      <c r="P59" s="43">
        <f>O66</f>
        <v/>
      </c>
      <c r="Q59" s="43">
        <f>P66</f>
        <v/>
      </c>
    </row>
    <row r="60">
      <c r="A60" s="10" t="inlineStr">
        <is>
          <t>First run received</t>
        </is>
      </c>
      <c r="C60" s="43">
        <f>IF(EOMONTH(in_FirstShip,0)=EOMONTH(C$23,0),$B$9,0)</f>
        <v/>
      </c>
      <c r="D60" s="43">
        <f>IF(EOMONTH(in_FirstShip,0)=EOMONTH(D$23,0),$B$9,0)</f>
        <v/>
      </c>
      <c r="E60" s="43">
        <f>IF(EOMONTH(in_FirstShip,0)=EOMONTH(E$23,0),$B$9,0)</f>
        <v/>
      </c>
      <c r="F60" s="43">
        <f>IF(EOMONTH(in_FirstShip,0)=EOMONTH(F$23,0),$B$9,0)</f>
        <v/>
      </c>
      <c r="G60" s="43">
        <f>IF(EOMONTH(in_FirstShip,0)=EOMONTH(G$23,0),$B$9,0)</f>
        <v/>
      </c>
      <c r="H60" s="43">
        <f>IF(EOMONTH(in_FirstShip,0)=EOMONTH(H$23,0),$B$9,0)</f>
        <v/>
      </c>
      <c r="I60" s="43">
        <f>IF(EOMONTH(in_FirstShip,0)=EOMONTH(I$23,0),$B$9,0)</f>
        <v/>
      </c>
      <c r="J60" s="43">
        <f>IF(EOMONTH(in_FirstShip,0)=EOMONTH(J$23,0),$B$9,0)</f>
        <v/>
      </c>
      <c r="K60" s="43">
        <f>IF(EOMONTH(in_FirstShip,0)=EOMONTH(K$23,0),$B$9,0)</f>
        <v/>
      </c>
      <c r="L60" s="43">
        <f>IF(EOMONTH(in_FirstShip,0)=EOMONTH(L$23,0),$B$9,0)</f>
        <v/>
      </c>
      <c r="M60" s="43">
        <f>IF(EOMONTH(in_FirstShip,0)=EOMONTH(M$23,0),$B$9,0)</f>
        <v/>
      </c>
      <c r="N60" s="43">
        <f>IF(EOMONTH(in_FirstShip,0)=EOMONTH(N$23,0),$B$9,0)</f>
        <v/>
      </c>
      <c r="O60" s="43">
        <f>IF(EOMONTH(in_FirstShip,0)=EOMONTH(O$23,0),$B$9,0)</f>
        <v/>
      </c>
      <c r="P60" s="43">
        <f>IF(EOMONTH(in_FirstShip,0)=EOMONTH(P$23,0),$B$9,0)</f>
        <v/>
      </c>
      <c r="Q60" s="43">
        <f>IF(EOMONTH(in_FirstShip,0)=EOMONTH(Q$23,0),$B$9,0)</f>
        <v/>
      </c>
      <c r="R60" s="44">
        <f>SUM(C60:Q60)</f>
        <v/>
      </c>
    </row>
    <row r="61">
      <c r="A61" s="10" t="inlineStr">
        <is>
          <t>Reorders received (placed lead-time months earlier)</t>
        </is>
      </c>
      <c r="C61" s="43">
        <f>IF(in_Lead=1,0,IF(in_Lead=2,0,IF(in_Lead=3,0,0)))</f>
        <v/>
      </c>
      <c r="D61" s="43">
        <f>IF(in_Lead=1,C63,IF(in_Lead=2,0,IF(in_Lead=3,0,0)))</f>
        <v/>
      </c>
      <c r="E61" s="43">
        <f>IF(in_Lead=1,D63,IF(in_Lead=2,C63,IF(in_Lead=3,0,0)))</f>
        <v/>
      </c>
      <c r="F61" s="43">
        <f>IF(in_Lead=1,E63,IF(in_Lead=2,D63,IF(in_Lead=3,C63,0)))</f>
        <v/>
      </c>
      <c r="G61" s="43">
        <f>IF(in_Lead=1,F63,IF(in_Lead=2,E63,IF(in_Lead=3,D63,0)))</f>
        <v/>
      </c>
      <c r="H61" s="43">
        <f>IF(in_Lead=1,G63,IF(in_Lead=2,F63,IF(in_Lead=3,E63,0)))</f>
        <v/>
      </c>
      <c r="I61" s="43">
        <f>IF(in_Lead=1,H63,IF(in_Lead=2,G63,IF(in_Lead=3,F63,0)))</f>
        <v/>
      </c>
      <c r="J61" s="43">
        <f>IF(in_Lead=1,I63,IF(in_Lead=2,H63,IF(in_Lead=3,G63,0)))</f>
        <v/>
      </c>
      <c r="K61" s="43">
        <f>IF(in_Lead=1,J63,IF(in_Lead=2,I63,IF(in_Lead=3,H63,0)))</f>
        <v/>
      </c>
      <c r="L61" s="43">
        <f>IF(in_Lead=1,K63,IF(in_Lead=2,J63,IF(in_Lead=3,I63,0)))</f>
        <v/>
      </c>
      <c r="M61" s="43">
        <f>IF(in_Lead=1,L63,IF(in_Lead=2,K63,IF(in_Lead=3,J63,0)))</f>
        <v/>
      </c>
      <c r="N61" s="43">
        <f>IF(in_Lead=1,M63,IF(in_Lead=2,L63,IF(in_Lead=3,K63,0)))</f>
        <v/>
      </c>
      <c r="O61" s="43">
        <f>IF(in_Lead=1,N63,IF(in_Lead=2,M63,IF(in_Lead=3,L63,0)))</f>
        <v/>
      </c>
      <c r="P61" s="43">
        <f>IF(in_Lead=1,O63,IF(in_Lead=2,N63,IF(in_Lead=3,M63,0)))</f>
        <v/>
      </c>
      <c r="Q61" s="43">
        <f>IF(in_Lead=1,P63,IF(in_Lead=2,O63,IF(in_Lead=3,N63,0)))</f>
        <v/>
      </c>
      <c r="R61" s="44">
        <f>SUM(C61:Q61)</f>
        <v/>
      </c>
    </row>
    <row r="62">
      <c r="A62" s="10" t="inlineStr">
        <is>
          <t>On order, still in transit after this month</t>
        </is>
      </c>
      <c r="C62" s="43">
        <f>IF(in_Lead&gt;=2,0,0)+IF(in_Lead&gt;=3,0,0)</f>
        <v/>
      </c>
      <c r="D62" s="43">
        <f>IF(in_Lead&gt;=2,C63,0)+IF(in_Lead&gt;=3,0,0)</f>
        <v/>
      </c>
      <c r="E62" s="43">
        <f>IF(in_Lead&gt;=2,D63,0)+IF(in_Lead&gt;=3,C63,0)</f>
        <v/>
      </c>
      <c r="F62" s="43">
        <f>IF(in_Lead&gt;=2,E63,0)+IF(in_Lead&gt;=3,D63,0)</f>
        <v/>
      </c>
      <c r="G62" s="43">
        <f>IF(in_Lead&gt;=2,F63,0)+IF(in_Lead&gt;=3,E63,0)</f>
        <v/>
      </c>
      <c r="H62" s="43">
        <f>IF(in_Lead&gt;=2,G63,0)+IF(in_Lead&gt;=3,F63,0)</f>
        <v/>
      </c>
      <c r="I62" s="43">
        <f>IF(in_Lead&gt;=2,H63,0)+IF(in_Lead&gt;=3,G63,0)</f>
        <v/>
      </c>
      <c r="J62" s="43">
        <f>IF(in_Lead&gt;=2,I63,0)+IF(in_Lead&gt;=3,H63,0)</f>
        <v/>
      </c>
      <c r="K62" s="43">
        <f>IF(in_Lead&gt;=2,J63,0)+IF(in_Lead&gt;=3,I63,0)</f>
        <v/>
      </c>
      <c r="L62" s="43">
        <f>IF(in_Lead&gt;=2,K63,0)+IF(in_Lead&gt;=3,J63,0)</f>
        <v/>
      </c>
      <c r="M62" s="43">
        <f>IF(in_Lead&gt;=2,L63,0)+IF(in_Lead&gt;=3,K63,0)</f>
        <v/>
      </c>
      <c r="N62" s="43">
        <f>IF(in_Lead&gt;=2,M63,0)+IF(in_Lead&gt;=3,L63,0)</f>
        <v/>
      </c>
      <c r="O62" s="43">
        <f>IF(in_Lead&gt;=2,N63,0)+IF(in_Lead&gt;=3,M63,0)</f>
        <v/>
      </c>
      <c r="P62" s="43">
        <f>IF(in_Lead&gt;=2,O63,0)+IF(in_Lead&gt;=3,N63,0)</f>
        <v/>
      </c>
      <c r="Q62" s="43">
        <f>IF(in_Lead&gt;=2,P63,0)+IF(in_Lead&gt;=3,O63,0)</f>
        <v/>
      </c>
    </row>
    <row r="63">
      <c r="A63" s="10" t="inlineStr">
        <is>
          <t>Reorder placed and paid</t>
        </is>
      </c>
      <c r="C63" s="43">
        <f>IF(C24=1,IF(C59+C60+C61+C62&lt;C58*in_Cover,ROUNDUP((C58*in_Cover-(C59+C60+C61+C62))/$B$9,0)*$B$9,0),0)</f>
        <v/>
      </c>
      <c r="D63" s="43">
        <f>IF(D24=1,IF(D59+D60+D61+D62&lt;D58*in_Cover,ROUNDUP((D58*in_Cover-(D59+D60+D61+D62))/$B$9,0)*$B$9,0),0)</f>
        <v/>
      </c>
      <c r="E63" s="43">
        <f>IF(E24=1,IF(E59+E60+E61+E62&lt;E58*in_Cover,ROUNDUP((E58*in_Cover-(E59+E60+E61+E62))/$B$9,0)*$B$9,0),0)</f>
        <v/>
      </c>
      <c r="F63" s="43">
        <f>IF(F24=1,IF(F59+F60+F61+F62&lt;F58*in_Cover,ROUNDUP((F58*in_Cover-(F59+F60+F61+F62))/$B$9,0)*$B$9,0),0)</f>
        <v/>
      </c>
      <c r="G63" s="43">
        <f>IF(G24=1,IF(G59+G60+G61+G62&lt;G58*in_Cover,ROUNDUP((G58*in_Cover-(G59+G60+G61+G62))/$B$9,0)*$B$9,0),0)</f>
        <v/>
      </c>
      <c r="H63" s="43">
        <f>IF(H24=1,IF(H59+H60+H61+H62&lt;H58*in_Cover,ROUNDUP((H58*in_Cover-(H59+H60+H61+H62))/$B$9,0)*$B$9,0),0)</f>
        <v/>
      </c>
      <c r="I63" s="43">
        <f>IF(I24=1,IF(I59+I60+I61+I62&lt;I58*in_Cover,ROUNDUP((I58*in_Cover-(I59+I60+I61+I62))/$B$9,0)*$B$9,0),0)</f>
        <v/>
      </c>
      <c r="J63" s="43">
        <f>IF(J24=1,IF(J59+J60+J61+J62&lt;J58*in_Cover,ROUNDUP((J58*in_Cover-(J59+J60+J61+J62))/$B$9,0)*$B$9,0),0)</f>
        <v/>
      </c>
      <c r="K63" s="43">
        <f>IF(K24=1,IF(K59+K60+K61+K62&lt;K58*in_Cover,ROUNDUP((K58*in_Cover-(K59+K60+K61+K62))/$B$9,0)*$B$9,0),0)</f>
        <v/>
      </c>
      <c r="L63" s="43">
        <f>IF(L24=1,IF(L59+L60+L61+L62&lt;L58*in_Cover,ROUNDUP((L58*in_Cover-(L59+L60+L61+L62))/$B$9,0)*$B$9,0),0)</f>
        <v/>
      </c>
      <c r="M63" s="43">
        <f>IF(M24=1,IF(M59+M60+M61+M62&lt;M58*in_Cover,ROUNDUP((M58*in_Cover-(M59+M60+M61+M62))/$B$9,0)*$B$9,0),0)</f>
        <v/>
      </c>
      <c r="N63" s="43">
        <f>IF(N24=1,IF(N59+N60+N61+N62&lt;N58*in_Cover,ROUNDUP((N58*in_Cover-(N59+N60+N61+N62))/$B$9,0)*$B$9,0),0)</f>
        <v/>
      </c>
      <c r="O63" s="43">
        <f>IF(O24=1,IF(O59+O60+O61+O62&lt;O58*in_Cover,ROUNDUP((O58*in_Cover-(O59+O60+O61+O62))/$B$9,0)*$B$9,0),0)</f>
        <v/>
      </c>
      <c r="P63" s="43">
        <f>IF(P24=1,IF(P59+P60+P61+P62&lt;P58*in_Cover,ROUNDUP((P58*in_Cover-(P59+P60+P61+P62))/$B$9,0)*$B$9,0),0)</f>
        <v/>
      </c>
      <c r="Q63" s="43">
        <f>IF(Q24=1,IF(Q59+Q60+Q61+Q62&lt;Q58*in_Cover,ROUNDUP((Q58*in_Cover-(Q59+Q60+Q61+Q62))/$B$9,0)*$B$9,0),0)</f>
        <v/>
      </c>
      <c r="R63" s="44">
        <f>SUM(C63:Q63)</f>
        <v/>
      </c>
    </row>
    <row r="64">
      <c r="A64" s="10" t="inlineStr">
        <is>
          <t>Sticks sold</t>
        </is>
      </c>
      <c r="C64" s="43">
        <f>MIN(C58,C59+C60+C61)</f>
        <v/>
      </c>
      <c r="D64" s="43">
        <f>MIN(D58,D59+D60+D61)</f>
        <v/>
      </c>
      <c r="E64" s="43">
        <f>MIN(E58,E59+E60+E61)</f>
        <v/>
      </c>
      <c r="F64" s="43">
        <f>MIN(F58,F59+F60+F61)</f>
        <v/>
      </c>
      <c r="G64" s="43">
        <f>MIN(G58,G59+G60+G61)</f>
        <v/>
      </c>
      <c r="H64" s="43">
        <f>MIN(H58,H59+H60+H61)</f>
        <v/>
      </c>
      <c r="I64" s="43">
        <f>MIN(I58,I59+I60+I61)</f>
        <v/>
      </c>
      <c r="J64" s="43">
        <f>MIN(J58,J59+J60+J61)</f>
        <v/>
      </c>
      <c r="K64" s="43">
        <f>MIN(K58,K59+K60+K61)</f>
        <v/>
      </c>
      <c r="L64" s="43">
        <f>MIN(L58,L59+L60+L61)</f>
        <v/>
      </c>
      <c r="M64" s="43">
        <f>MIN(M58,M59+M60+M61)</f>
        <v/>
      </c>
      <c r="N64" s="43">
        <f>MIN(N58,N59+N60+N61)</f>
        <v/>
      </c>
      <c r="O64" s="43">
        <f>MIN(O58,O59+O60+O61)</f>
        <v/>
      </c>
      <c r="P64" s="43">
        <f>MIN(P58,P59+P60+P61)</f>
        <v/>
      </c>
      <c r="Q64" s="43">
        <f>MIN(Q58,Q59+Q60+Q61)</f>
        <v/>
      </c>
      <c r="R64" s="44">
        <f>SUM(C64:Q64)</f>
        <v/>
      </c>
    </row>
    <row r="65">
      <c r="A65" s="10" t="inlineStr">
        <is>
          <t>Stick shortfall (check: should be 0)</t>
        </is>
      </c>
      <c r="B65" s="6" t="inlineStr">
        <is>
          <t>Must stay 0</t>
        </is>
      </c>
      <c r="C65" s="43">
        <f>C58-C64</f>
        <v/>
      </c>
      <c r="D65" s="43">
        <f>D58-D64</f>
        <v/>
      </c>
      <c r="E65" s="43">
        <f>E58-E64</f>
        <v/>
      </c>
      <c r="F65" s="43">
        <f>F58-F64</f>
        <v/>
      </c>
      <c r="G65" s="43">
        <f>G58-G64</f>
        <v/>
      </c>
      <c r="H65" s="43">
        <f>H58-H64</f>
        <v/>
      </c>
      <c r="I65" s="43">
        <f>I58-I64</f>
        <v/>
      </c>
      <c r="J65" s="43">
        <f>J58-J64</f>
        <v/>
      </c>
      <c r="K65" s="43">
        <f>K58-K64</f>
        <v/>
      </c>
      <c r="L65" s="43">
        <f>L58-L64</f>
        <v/>
      </c>
      <c r="M65" s="43">
        <f>M58-M64</f>
        <v/>
      </c>
      <c r="N65" s="43">
        <f>N58-N64</f>
        <v/>
      </c>
      <c r="O65" s="43">
        <f>O58-O64</f>
        <v/>
      </c>
      <c r="P65" s="43">
        <f>P58-P64</f>
        <v/>
      </c>
      <c r="Q65" s="43">
        <f>Q58-Q64</f>
        <v/>
      </c>
      <c r="R65" s="44">
        <f>SUM(C65:Q65)</f>
        <v/>
      </c>
    </row>
    <row r="66">
      <c r="A66" s="10" t="inlineStr">
        <is>
          <t>Closing stock</t>
        </is>
      </c>
      <c r="C66" s="43">
        <f>C59+C60+C61-C64</f>
        <v/>
      </c>
      <c r="D66" s="43">
        <f>D59+D60+D61-D64</f>
        <v/>
      </c>
      <c r="E66" s="43">
        <f>E59+E60+E61-E64</f>
        <v/>
      </c>
      <c r="F66" s="43">
        <f>F59+F60+F61-F64</f>
        <v/>
      </c>
      <c r="G66" s="43">
        <f>G59+G60+G61-G64</f>
        <v/>
      </c>
      <c r="H66" s="43">
        <f>H59+H60+H61-H64</f>
        <v/>
      </c>
      <c r="I66" s="43">
        <f>I59+I60+I61-I64</f>
        <v/>
      </c>
      <c r="J66" s="43">
        <f>J59+J60+J61-J64</f>
        <v/>
      </c>
      <c r="K66" s="43">
        <f>K59+K60+K61-K64</f>
        <v/>
      </c>
      <c r="L66" s="43">
        <f>L59+L60+L61-L64</f>
        <v/>
      </c>
      <c r="M66" s="43">
        <f>M59+M60+M61-M64</f>
        <v/>
      </c>
      <c r="N66" s="43">
        <f>N59+N60+N61-N64</f>
        <v/>
      </c>
      <c r="O66" s="43">
        <f>O59+O60+O61-O64</f>
        <v/>
      </c>
      <c r="P66" s="43">
        <f>P59+P60+P61-P64</f>
        <v/>
      </c>
      <c r="Q66" s="43">
        <f>Q59+Q60+Q61-Q64</f>
        <v/>
      </c>
    </row>
    <row r="68">
      <c r="A68" s="7" t="inlineStr">
        <is>
          <t>Cash in</t>
        </is>
      </c>
      <c r="B68" s="8" t="n"/>
      <c r="C68" s="8" t="n"/>
      <c r="D68" s="8" t="n"/>
      <c r="E68" s="8" t="n"/>
      <c r="F68" s="8" t="n"/>
      <c r="G68" s="8" t="n"/>
      <c r="H68" s="8" t="n"/>
      <c r="I68" s="8" t="n"/>
      <c r="J68" s="8" t="n"/>
      <c r="K68" s="8" t="n"/>
      <c r="L68" s="8" t="n"/>
      <c r="M68" s="8" t="n"/>
      <c r="N68" s="8" t="n"/>
      <c r="O68" s="8" t="n"/>
      <c r="P68" s="8" t="n"/>
      <c r="Q68" s="8" t="n"/>
      <c r="R68" s="8" t="n"/>
    </row>
    <row r="69">
      <c r="A69" s="10" t="inlineStr">
        <is>
          <t>DTC one-off pouches</t>
        </is>
      </c>
      <c r="C69" s="45">
        <f>C35*in_PricePouch</f>
        <v/>
      </c>
      <c r="D69" s="45">
        <f>D35*in_PricePouch</f>
        <v/>
      </c>
      <c r="E69" s="45">
        <f>E35*in_PricePouch</f>
        <v/>
      </c>
      <c r="F69" s="45">
        <f>F35*in_PricePouch</f>
        <v/>
      </c>
      <c r="G69" s="45">
        <f>G35*in_PricePouch</f>
        <v/>
      </c>
      <c r="H69" s="45">
        <f>H35*in_PricePouch</f>
        <v/>
      </c>
      <c r="I69" s="45">
        <f>I35*in_PricePouch</f>
        <v/>
      </c>
      <c r="J69" s="45">
        <f>J35*in_PricePouch</f>
        <v/>
      </c>
      <c r="K69" s="45">
        <f>K35*in_PricePouch</f>
        <v/>
      </c>
      <c r="L69" s="45">
        <f>L35*in_PricePouch</f>
        <v/>
      </c>
      <c r="M69" s="45">
        <f>M35*in_PricePouch</f>
        <v/>
      </c>
      <c r="N69" s="45">
        <f>N35*in_PricePouch</f>
        <v/>
      </c>
      <c r="O69" s="45">
        <f>O35*in_PricePouch</f>
        <v/>
      </c>
      <c r="P69" s="45">
        <f>P35*in_PricePouch</f>
        <v/>
      </c>
      <c r="Q69" s="45">
        <f>Q35*in_PricePouch</f>
        <v/>
      </c>
      <c r="R69" s="46">
        <f>SUM(C69:Q69)</f>
        <v/>
      </c>
    </row>
    <row r="70">
      <c r="A70" s="10" t="inlineStr">
        <is>
          <t>DTC subscription pouches</t>
        </is>
      </c>
      <c r="C70" s="45">
        <f>C32*in_PricePouch*(1-in_SubDisc)</f>
        <v/>
      </c>
      <c r="D70" s="45">
        <f>D32*in_PricePouch*(1-in_SubDisc)</f>
        <v/>
      </c>
      <c r="E70" s="45">
        <f>E32*in_PricePouch*(1-in_SubDisc)</f>
        <v/>
      </c>
      <c r="F70" s="45">
        <f>F32*in_PricePouch*(1-in_SubDisc)</f>
        <v/>
      </c>
      <c r="G70" s="45">
        <f>G32*in_PricePouch*(1-in_SubDisc)</f>
        <v/>
      </c>
      <c r="H70" s="45">
        <f>H32*in_PricePouch*(1-in_SubDisc)</f>
        <v/>
      </c>
      <c r="I70" s="45">
        <f>I32*in_PricePouch*(1-in_SubDisc)</f>
        <v/>
      </c>
      <c r="J70" s="45">
        <f>J32*in_PricePouch*(1-in_SubDisc)</f>
        <v/>
      </c>
      <c r="K70" s="45">
        <f>K32*in_PricePouch*(1-in_SubDisc)</f>
        <v/>
      </c>
      <c r="L70" s="45">
        <f>L32*in_PricePouch*(1-in_SubDisc)</f>
        <v/>
      </c>
      <c r="M70" s="45">
        <f>M32*in_PricePouch*(1-in_SubDisc)</f>
        <v/>
      </c>
      <c r="N70" s="45">
        <f>N32*in_PricePouch*(1-in_SubDisc)</f>
        <v/>
      </c>
      <c r="O70" s="45">
        <f>O32*in_PricePouch*(1-in_SubDisc)</f>
        <v/>
      </c>
      <c r="P70" s="45">
        <f>P32*in_PricePouch*(1-in_SubDisc)</f>
        <v/>
      </c>
      <c r="Q70" s="45">
        <f>Q32*in_PricePouch*(1-in_SubDisc)</f>
        <v/>
      </c>
      <c r="R70" s="46">
        <f>SUM(C70:Q70)</f>
        <v/>
      </c>
    </row>
    <row r="71">
      <c r="A71" s="10" t="inlineStr">
        <is>
          <t>Founding offer discount (waitlist first orders)</t>
        </is>
      </c>
      <c r="C71" s="45">
        <f>-C27*in_PricePouch*in_FoundDisc</f>
        <v/>
      </c>
      <c r="D71" s="45">
        <f>-D27*in_PricePouch*in_FoundDisc</f>
        <v/>
      </c>
      <c r="E71" s="45">
        <f>-E27*in_PricePouch*in_FoundDisc</f>
        <v/>
      </c>
      <c r="F71" s="45">
        <f>-F27*in_PricePouch*in_FoundDisc</f>
        <v/>
      </c>
      <c r="G71" s="45">
        <f>-G27*in_PricePouch*in_FoundDisc</f>
        <v/>
      </c>
      <c r="H71" s="45">
        <f>-H27*in_PricePouch*in_FoundDisc</f>
        <v/>
      </c>
      <c r="I71" s="45">
        <f>-I27*in_PricePouch*in_FoundDisc</f>
        <v/>
      </c>
      <c r="J71" s="45">
        <f>-J27*in_PricePouch*in_FoundDisc</f>
        <v/>
      </c>
      <c r="K71" s="45">
        <f>-K27*in_PricePouch*in_FoundDisc</f>
        <v/>
      </c>
      <c r="L71" s="45">
        <f>-L27*in_PricePouch*in_FoundDisc</f>
        <v/>
      </c>
      <c r="M71" s="45">
        <f>-M27*in_PricePouch*in_FoundDisc</f>
        <v/>
      </c>
      <c r="N71" s="45">
        <f>-N27*in_PricePouch*in_FoundDisc</f>
        <v/>
      </c>
      <c r="O71" s="45">
        <f>-O27*in_PricePouch*in_FoundDisc</f>
        <v/>
      </c>
      <c r="P71" s="45">
        <f>-P27*in_PricePouch*in_FoundDisc</f>
        <v/>
      </c>
      <c r="Q71" s="45">
        <f>-Q27*in_PricePouch*in_FoundDisc</f>
        <v/>
      </c>
      <c r="R71" s="46">
        <f>SUM(C71:Q71)</f>
        <v/>
      </c>
    </row>
    <row r="72">
      <c r="A72" s="10" t="inlineStr">
        <is>
          <t>DTC stick boxes</t>
        </is>
      </c>
      <c r="C72" s="45">
        <f>C37*in_PriceStickBox</f>
        <v/>
      </c>
      <c r="D72" s="45">
        <f>D37*in_PriceStickBox</f>
        <v/>
      </c>
      <c r="E72" s="45">
        <f>E37*in_PriceStickBox</f>
        <v/>
      </c>
      <c r="F72" s="45">
        <f>F37*in_PriceStickBox</f>
        <v/>
      </c>
      <c r="G72" s="45">
        <f>G37*in_PriceStickBox</f>
        <v/>
      </c>
      <c r="H72" s="45">
        <f>H37*in_PriceStickBox</f>
        <v/>
      </c>
      <c r="I72" s="45">
        <f>I37*in_PriceStickBox</f>
        <v/>
      </c>
      <c r="J72" s="45">
        <f>J37*in_PriceStickBox</f>
        <v/>
      </c>
      <c r="K72" s="45">
        <f>K37*in_PriceStickBox</f>
        <v/>
      </c>
      <c r="L72" s="45">
        <f>L37*in_PriceStickBox</f>
        <v/>
      </c>
      <c r="M72" s="45">
        <f>M37*in_PriceStickBox</f>
        <v/>
      </c>
      <c r="N72" s="45">
        <f>N37*in_PriceStickBox</f>
        <v/>
      </c>
      <c r="O72" s="45">
        <f>O37*in_PriceStickBox</f>
        <v/>
      </c>
      <c r="P72" s="45">
        <f>P37*in_PriceStickBox</f>
        <v/>
      </c>
      <c r="Q72" s="45">
        <f>Q37*in_PriceStickBox</f>
        <v/>
      </c>
      <c r="R72" s="46">
        <f>SUM(C72:Q72)</f>
        <v/>
      </c>
    </row>
    <row r="73">
      <c r="A73" s="10" t="inlineStr">
        <is>
          <t>Shipping charged to customers</t>
        </is>
      </c>
      <c r="C73" s="45">
        <f>IF(in_FreeShip=1,0,(C36+C37)*in_ShipCharge)</f>
        <v/>
      </c>
      <c r="D73" s="45">
        <f>IF(in_FreeShip=1,0,(D36+D37)*in_ShipCharge)</f>
        <v/>
      </c>
      <c r="E73" s="45">
        <f>IF(in_FreeShip=1,0,(E36+E37)*in_ShipCharge)</f>
        <v/>
      </c>
      <c r="F73" s="45">
        <f>IF(in_FreeShip=1,0,(F36+F37)*in_ShipCharge)</f>
        <v/>
      </c>
      <c r="G73" s="45">
        <f>IF(in_FreeShip=1,0,(G36+G37)*in_ShipCharge)</f>
        <v/>
      </c>
      <c r="H73" s="45">
        <f>IF(in_FreeShip=1,0,(H36+H37)*in_ShipCharge)</f>
        <v/>
      </c>
      <c r="I73" s="45">
        <f>IF(in_FreeShip=1,0,(I36+I37)*in_ShipCharge)</f>
        <v/>
      </c>
      <c r="J73" s="45">
        <f>IF(in_FreeShip=1,0,(J36+J37)*in_ShipCharge)</f>
        <v/>
      </c>
      <c r="K73" s="45">
        <f>IF(in_FreeShip=1,0,(K36+K37)*in_ShipCharge)</f>
        <v/>
      </c>
      <c r="L73" s="45">
        <f>IF(in_FreeShip=1,0,(L36+L37)*in_ShipCharge)</f>
        <v/>
      </c>
      <c r="M73" s="45">
        <f>IF(in_FreeShip=1,0,(M36+M37)*in_ShipCharge)</f>
        <v/>
      </c>
      <c r="N73" s="45">
        <f>IF(in_FreeShip=1,0,(N36+N37)*in_ShipCharge)</f>
        <v/>
      </c>
      <c r="O73" s="45">
        <f>IF(in_FreeShip=1,0,(O36+O37)*in_ShipCharge)</f>
        <v/>
      </c>
      <c r="P73" s="45">
        <f>IF(in_FreeShip=1,0,(P36+P37)*in_ShipCharge)</f>
        <v/>
      </c>
      <c r="Q73" s="45">
        <f>IF(in_FreeShip=1,0,(Q36+Q37)*in_ShipCharge)</f>
        <v/>
      </c>
      <c r="R73" s="46">
        <f>SUM(C73:Q73)</f>
        <v/>
      </c>
    </row>
    <row r="74">
      <c r="A74" s="26" t="inlineStr">
        <is>
          <t>DTC revenue</t>
        </is>
      </c>
      <c r="C74" s="47">
        <f>SUM(C69:C73)</f>
        <v/>
      </c>
      <c r="D74" s="47">
        <f>SUM(D69:D73)</f>
        <v/>
      </c>
      <c r="E74" s="47">
        <f>SUM(E69:E73)</f>
        <v/>
      </c>
      <c r="F74" s="47">
        <f>SUM(F69:F73)</f>
        <v/>
      </c>
      <c r="G74" s="47">
        <f>SUM(G69:G73)</f>
        <v/>
      </c>
      <c r="H74" s="47">
        <f>SUM(H69:H73)</f>
        <v/>
      </c>
      <c r="I74" s="47">
        <f>SUM(I69:I73)</f>
        <v/>
      </c>
      <c r="J74" s="47">
        <f>SUM(J69:J73)</f>
        <v/>
      </c>
      <c r="K74" s="47">
        <f>SUM(K69:K73)</f>
        <v/>
      </c>
      <c r="L74" s="47">
        <f>SUM(L69:L73)</f>
        <v/>
      </c>
      <c r="M74" s="47">
        <f>SUM(M69:M73)</f>
        <v/>
      </c>
      <c r="N74" s="47">
        <f>SUM(N69:N73)</f>
        <v/>
      </c>
      <c r="O74" s="47">
        <f>SUM(O69:O73)</f>
        <v/>
      </c>
      <c r="P74" s="47">
        <f>SUM(P69:P73)</f>
        <v/>
      </c>
      <c r="Q74" s="47">
        <f>SUM(Q69:Q73)</f>
        <v/>
      </c>
      <c r="R74" s="46">
        <f>SUM(C74:Q74)</f>
        <v/>
      </c>
    </row>
    <row r="75">
      <c r="A75" s="10" t="inlineStr">
        <is>
          <t>Wholesale invoiced (pouches + sticks)</t>
        </is>
      </c>
      <c r="C75" s="45">
        <f>C42*in_WsPouch+C43*in_WsStick</f>
        <v/>
      </c>
      <c r="D75" s="45">
        <f>D42*in_WsPouch+D43*in_WsStick</f>
        <v/>
      </c>
      <c r="E75" s="45">
        <f>E42*in_WsPouch+E43*in_WsStick</f>
        <v/>
      </c>
      <c r="F75" s="45">
        <f>F42*in_WsPouch+F43*in_WsStick</f>
        <v/>
      </c>
      <c r="G75" s="45">
        <f>G42*in_WsPouch+G43*in_WsStick</f>
        <v/>
      </c>
      <c r="H75" s="45">
        <f>H42*in_WsPouch+H43*in_WsStick</f>
        <v/>
      </c>
      <c r="I75" s="45">
        <f>I42*in_WsPouch+I43*in_WsStick</f>
        <v/>
      </c>
      <c r="J75" s="45">
        <f>J42*in_WsPouch+J43*in_WsStick</f>
        <v/>
      </c>
      <c r="K75" s="45">
        <f>K42*in_WsPouch+K43*in_WsStick</f>
        <v/>
      </c>
      <c r="L75" s="45">
        <f>L42*in_WsPouch+L43*in_WsStick</f>
        <v/>
      </c>
      <c r="M75" s="45">
        <f>M42*in_WsPouch+M43*in_WsStick</f>
        <v/>
      </c>
      <c r="N75" s="45">
        <f>N42*in_WsPouch+N43*in_WsStick</f>
        <v/>
      </c>
      <c r="O75" s="45">
        <f>O42*in_WsPouch+O43*in_WsStick</f>
        <v/>
      </c>
      <c r="P75" s="45">
        <f>P42*in_WsPouch+P43*in_WsStick</f>
        <v/>
      </c>
      <c r="Q75" s="45">
        <f>Q42*in_WsPouch+Q43*in_WsStick</f>
        <v/>
      </c>
      <c r="R75" s="46">
        <f>SUM(C75:Q75)</f>
        <v/>
      </c>
    </row>
    <row r="76">
      <c r="A76" s="10" t="inlineStr">
        <is>
          <t>Wholesale cash collected</t>
        </is>
      </c>
      <c r="B76" s="6" t="inlineStr">
        <is>
          <t>Net 30 toggle</t>
        </is>
      </c>
      <c r="C76" s="45">
        <f>IF(in_Net30=1,0,C75)</f>
        <v/>
      </c>
      <c r="D76" s="45">
        <f>IF(in_Net30=1,C75,D75)</f>
        <v/>
      </c>
      <c r="E76" s="45">
        <f>IF(in_Net30=1,D75,E75)</f>
        <v/>
      </c>
      <c r="F76" s="45">
        <f>IF(in_Net30=1,E75,F75)</f>
        <v/>
      </c>
      <c r="G76" s="45">
        <f>IF(in_Net30=1,F75,G75)</f>
        <v/>
      </c>
      <c r="H76" s="45">
        <f>IF(in_Net30=1,G75,H75)</f>
        <v/>
      </c>
      <c r="I76" s="45">
        <f>IF(in_Net30=1,H75,I75)</f>
        <v/>
      </c>
      <c r="J76" s="45">
        <f>IF(in_Net30=1,I75,J75)</f>
        <v/>
      </c>
      <c r="K76" s="45">
        <f>IF(in_Net30=1,J75,K75)</f>
        <v/>
      </c>
      <c r="L76" s="45">
        <f>IF(in_Net30=1,K75,L75)</f>
        <v/>
      </c>
      <c r="M76" s="45">
        <f>IF(in_Net30=1,L75,M75)</f>
        <v/>
      </c>
      <c r="N76" s="45">
        <f>IF(in_Net30=1,M75,N75)</f>
        <v/>
      </c>
      <c r="O76" s="45">
        <f>IF(in_Net30=1,N75,O75)</f>
        <v/>
      </c>
      <c r="P76" s="45">
        <f>IF(in_Net30=1,O75,P75)</f>
        <v/>
      </c>
      <c r="Q76" s="45">
        <f>IF(in_Net30=1,P75,Q75)</f>
        <v/>
      </c>
      <c r="R76" s="46">
        <f>SUM(C76:Q76)</f>
        <v/>
      </c>
    </row>
    <row r="77">
      <c r="A77" s="26" t="inlineStr">
        <is>
          <t>Total cash in</t>
        </is>
      </c>
      <c r="C77" s="47">
        <f>C74+C76</f>
        <v/>
      </c>
      <c r="D77" s="47">
        <f>D74+D76</f>
        <v/>
      </c>
      <c r="E77" s="47">
        <f>E74+E76</f>
        <v/>
      </c>
      <c r="F77" s="47">
        <f>F74+F76</f>
        <v/>
      </c>
      <c r="G77" s="47">
        <f>G74+G76</f>
        <v/>
      </c>
      <c r="H77" s="47">
        <f>H74+H76</f>
        <v/>
      </c>
      <c r="I77" s="47">
        <f>I74+I76</f>
        <v/>
      </c>
      <c r="J77" s="47">
        <f>J74+J76</f>
        <v/>
      </c>
      <c r="K77" s="47">
        <f>K74+K76</f>
        <v/>
      </c>
      <c r="L77" s="47">
        <f>L74+L76</f>
        <v/>
      </c>
      <c r="M77" s="47">
        <f>M74+M76</f>
        <v/>
      </c>
      <c r="N77" s="47">
        <f>N74+N76</f>
        <v/>
      </c>
      <c r="O77" s="47">
        <f>O74+O76</f>
        <v/>
      </c>
      <c r="P77" s="47">
        <f>P74+P76</f>
        <v/>
      </c>
      <c r="Q77" s="47">
        <f>Q74+Q76</f>
        <v/>
      </c>
      <c r="R77" s="46">
        <f>SUM(C77:Q77)</f>
        <v/>
      </c>
    </row>
    <row r="79">
      <c r="A79" s="7" t="inlineStr">
        <is>
          <t>Inventory purchases (cash out)</t>
        </is>
      </c>
      <c r="B79" s="8" t="n"/>
      <c r="C79" s="8" t="n"/>
      <c r="D79" s="8" t="n"/>
      <c r="E79" s="8" t="n"/>
      <c r="F79" s="8" t="n"/>
      <c r="G79" s="8" t="n"/>
      <c r="H79" s="8" t="n"/>
      <c r="I79" s="8" t="n"/>
      <c r="J79" s="8" t="n"/>
      <c r="K79" s="8" t="n"/>
      <c r="L79" s="8" t="n"/>
      <c r="M79" s="8" t="n"/>
      <c r="N79" s="8" t="n"/>
      <c r="O79" s="8" t="n"/>
      <c r="P79" s="8" t="n"/>
      <c r="Q79" s="8" t="n"/>
      <c r="R79" s="8" t="n"/>
    </row>
    <row r="80">
      <c r="A80" s="10" t="inlineStr">
        <is>
          <t>First pouch run (deposit, then balance; less sample credit)</t>
        </is>
      </c>
      <c r="B80" s="6" t="inlineStr">
        <is>
          <t>Mode-dependent</t>
        </is>
      </c>
      <c r="C80" s="45">
        <f>$B$8*$B$6*(IF(EOMONTH(in_PODate,0)=EOMONTH(C$23,0),in_Deposit,0)+IF(EOMONTH(in_BalanceDate,0)=EOMONTH(C$23,0),1-in_Deposit,0))-IF(EOMONTH(in_PODate,0)=EOMONTH(C$23,0),$B$10,0)</f>
        <v/>
      </c>
      <c r="D80" s="45">
        <f>$B$8*$B$6*(IF(EOMONTH(in_PODate,0)=EOMONTH(D$23,0),in_Deposit,0)+IF(EOMONTH(in_BalanceDate,0)=EOMONTH(D$23,0),1-in_Deposit,0))-IF(EOMONTH(in_PODate,0)=EOMONTH(D$23,0),$B$10,0)</f>
        <v/>
      </c>
      <c r="E80" s="45">
        <f>$B$8*$B$6*(IF(EOMONTH(in_PODate,0)=EOMONTH(E$23,0),in_Deposit,0)+IF(EOMONTH(in_BalanceDate,0)=EOMONTH(E$23,0),1-in_Deposit,0))-IF(EOMONTH(in_PODate,0)=EOMONTH(E$23,0),$B$10,0)</f>
        <v/>
      </c>
      <c r="F80" s="45">
        <f>$B$8*$B$6*(IF(EOMONTH(in_PODate,0)=EOMONTH(F$23,0),in_Deposit,0)+IF(EOMONTH(in_BalanceDate,0)=EOMONTH(F$23,0),1-in_Deposit,0))-IF(EOMONTH(in_PODate,0)=EOMONTH(F$23,0),$B$10,0)</f>
        <v/>
      </c>
      <c r="G80" s="45">
        <f>$B$8*$B$6*(IF(EOMONTH(in_PODate,0)=EOMONTH(G$23,0),in_Deposit,0)+IF(EOMONTH(in_BalanceDate,0)=EOMONTH(G$23,0),1-in_Deposit,0))-IF(EOMONTH(in_PODate,0)=EOMONTH(G$23,0),$B$10,0)</f>
        <v/>
      </c>
      <c r="H80" s="45">
        <f>$B$8*$B$6*(IF(EOMONTH(in_PODate,0)=EOMONTH(H$23,0),in_Deposit,0)+IF(EOMONTH(in_BalanceDate,0)=EOMONTH(H$23,0),1-in_Deposit,0))-IF(EOMONTH(in_PODate,0)=EOMONTH(H$23,0),$B$10,0)</f>
        <v/>
      </c>
      <c r="I80" s="45">
        <f>$B$8*$B$6*(IF(EOMONTH(in_PODate,0)=EOMONTH(I$23,0),in_Deposit,0)+IF(EOMONTH(in_BalanceDate,0)=EOMONTH(I$23,0),1-in_Deposit,0))-IF(EOMONTH(in_PODate,0)=EOMONTH(I$23,0),$B$10,0)</f>
        <v/>
      </c>
      <c r="J80" s="45">
        <f>$B$8*$B$6*(IF(EOMONTH(in_PODate,0)=EOMONTH(J$23,0),in_Deposit,0)+IF(EOMONTH(in_BalanceDate,0)=EOMONTH(J$23,0),1-in_Deposit,0))-IF(EOMONTH(in_PODate,0)=EOMONTH(J$23,0),$B$10,0)</f>
        <v/>
      </c>
      <c r="K80" s="45">
        <f>$B$8*$B$6*(IF(EOMONTH(in_PODate,0)=EOMONTH(K$23,0),in_Deposit,0)+IF(EOMONTH(in_BalanceDate,0)=EOMONTH(K$23,0),1-in_Deposit,0))-IF(EOMONTH(in_PODate,0)=EOMONTH(K$23,0),$B$10,0)</f>
        <v/>
      </c>
      <c r="L80" s="45">
        <f>$B$8*$B$6*(IF(EOMONTH(in_PODate,0)=EOMONTH(L$23,0),in_Deposit,0)+IF(EOMONTH(in_BalanceDate,0)=EOMONTH(L$23,0),1-in_Deposit,0))-IF(EOMONTH(in_PODate,0)=EOMONTH(L$23,0),$B$10,0)</f>
        <v/>
      </c>
      <c r="M80" s="45">
        <f>$B$8*$B$6*(IF(EOMONTH(in_PODate,0)=EOMONTH(M$23,0),in_Deposit,0)+IF(EOMONTH(in_BalanceDate,0)=EOMONTH(M$23,0),1-in_Deposit,0))-IF(EOMONTH(in_PODate,0)=EOMONTH(M$23,0),$B$10,0)</f>
        <v/>
      </c>
      <c r="N80" s="45">
        <f>$B$8*$B$6*(IF(EOMONTH(in_PODate,0)=EOMONTH(N$23,0),in_Deposit,0)+IF(EOMONTH(in_BalanceDate,0)=EOMONTH(N$23,0),1-in_Deposit,0))-IF(EOMONTH(in_PODate,0)=EOMONTH(N$23,0),$B$10,0)</f>
        <v/>
      </c>
      <c r="O80" s="45">
        <f>$B$8*$B$6*(IF(EOMONTH(in_PODate,0)=EOMONTH(O$23,0),in_Deposit,0)+IF(EOMONTH(in_BalanceDate,0)=EOMONTH(O$23,0),1-in_Deposit,0))-IF(EOMONTH(in_PODate,0)=EOMONTH(O$23,0),$B$10,0)</f>
        <v/>
      </c>
      <c r="P80" s="45">
        <f>$B$8*$B$6*(IF(EOMONTH(in_PODate,0)=EOMONTH(P$23,0),in_Deposit,0)+IF(EOMONTH(in_BalanceDate,0)=EOMONTH(P$23,0),1-in_Deposit,0))-IF(EOMONTH(in_PODate,0)=EOMONTH(P$23,0),$B$10,0)</f>
        <v/>
      </c>
      <c r="Q80" s="45">
        <f>$B$8*$B$6*(IF(EOMONTH(in_PODate,0)=EOMONTH(Q$23,0),in_Deposit,0)+IF(EOMONTH(in_BalanceDate,0)=EOMONTH(Q$23,0),1-in_Deposit,0))-IF(EOMONTH(in_PODate,0)=EOMONTH(Q$23,0),$B$10,0)</f>
        <v/>
      </c>
      <c r="R80" s="46">
        <f>SUM(C80:Q80)</f>
        <v/>
      </c>
    </row>
    <row r="81">
      <c r="A81" s="10" t="inlineStr">
        <is>
          <t>First protein stick run (deposit, then balance)</t>
        </is>
      </c>
      <c r="C81" s="45">
        <f>$B$9*$B$7*(IF(EOMONTH(in_PODate,0)=EOMONTH(C$23,0),in_Deposit,0)+IF(EOMONTH(in_BalanceDate,0)=EOMONTH(C$23,0),1-in_Deposit,0))</f>
        <v/>
      </c>
      <c r="D81" s="45">
        <f>$B$9*$B$7*(IF(EOMONTH(in_PODate,0)=EOMONTH(D$23,0),in_Deposit,0)+IF(EOMONTH(in_BalanceDate,0)=EOMONTH(D$23,0),1-in_Deposit,0))</f>
        <v/>
      </c>
      <c r="E81" s="45">
        <f>$B$9*$B$7*(IF(EOMONTH(in_PODate,0)=EOMONTH(E$23,0),in_Deposit,0)+IF(EOMONTH(in_BalanceDate,0)=EOMONTH(E$23,0),1-in_Deposit,0))</f>
        <v/>
      </c>
      <c r="F81" s="45">
        <f>$B$9*$B$7*(IF(EOMONTH(in_PODate,0)=EOMONTH(F$23,0),in_Deposit,0)+IF(EOMONTH(in_BalanceDate,0)=EOMONTH(F$23,0),1-in_Deposit,0))</f>
        <v/>
      </c>
      <c r="G81" s="45">
        <f>$B$9*$B$7*(IF(EOMONTH(in_PODate,0)=EOMONTH(G$23,0),in_Deposit,0)+IF(EOMONTH(in_BalanceDate,0)=EOMONTH(G$23,0),1-in_Deposit,0))</f>
        <v/>
      </c>
      <c r="H81" s="45">
        <f>$B$9*$B$7*(IF(EOMONTH(in_PODate,0)=EOMONTH(H$23,0),in_Deposit,0)+IF(EOMONTH(in_BalanceDate,0)=EOMONTH(H$23,0),1-in_Deposit,0))</f>
        <v/>
      </c>
      <c r="I81" s="45">
        <f>$B$9*$B$7*(IF(EOMONTH(in_PODate,0)=EOMONTH(I$23,0),in_Deposit,0)+IF(EOMONTH(in_BalanceDate,0)=EOMONTH(I$23,0),1-in_Deposit,0))</f>
        <v/>
      </c>
      <c r="J81" s="45">
        <f>$B$9*$B$7*(IF(EOMONTH(in_PODate,0)=EOMONTH(J$23,0),in_Deposit,0)+IF(EOMONTH(in_BalanceDate,0)=EOMONTH(J$23,0),1-in_Deposit,0))</f>
        <v/>
      </c>
      <c r="K81" s="45">
        <f>$B$9*$B$7*(IF(EOMONTH(in_PODate,0)=EOMONTH(K$23,0),in_Deposit,0)+IF(EOMONTH(in_BalanceDate,0)=EOMONTH(K$23,0),1-in_Deposit,0))</f>
        <v/>
      </c>
      <c r="L81" s="45">
        <f>$B$9*$B$7*(IF(EOMONTH(in_PODate,0)=EOMONTH(L$23,0),in_Deposit,0)+IF(EOMONTH(in_BalanceDate,0)=EOMONTH(L$23,0),1-in_Deposit,0))</f>
        <v/>
      </c>
      <c r="M81" s="45">
        <f>$B$9*$B$7*(IF(EOMONTH(in_PODate,0)=EOMONTH(M$23,0),in_Deposit,0)+IF(EOMONTH(in_BalanceDate,0)=EOMONTH(M$23,0),1-in_Deposit,0))</f>
        <v/>
      </c>
      <c r="N81" s="45">
        <f>$B$9*$B$7*(IF(EOMONTH(in_PODate,0)=EOMONTH(N$23,0),in_Deposit,0)+IF(EOMONTH(in_BalanceDate,0)=EOMONTH(N$23,0),1-in_Deposit,0))</f>
        <v/>
      </c>
      <c r="O81" s="45">
        <f>$B$9*$B$7*(IF(EOMONTH(in_PODate,0)=EOMONTH(O$23,0),in_Deposit,0)+IF(EOMONTH(in_BalanceDate,0)=EOMONTH(O$23,0),1-in_Deposit,0))</f>
        <v/>
      </c>
      <c r="P81" s="45">
        <f>$B$9*$B$7*(IF(EOMONTH(in_PODate,0)=EOMONTH(P$23,0),in_Deposit,0)+IF(EOMONTH(in_BalanceDate,0)=EOMONTH(P$23,0),1-in_Deposit,0))</f>
        <v/>
      </c>
      <c r="Q81" s="45">
        <f>$B$9*$B$7*(IF(EOMONTH(in_PODate,0)=EOMONTH(Q$23,0),in_Deposit,0)+IF(EOMONTH(in_BalanceDate,0)=EOMONTH(Q$23,0),1-in_Deposit,0))</f>
        <v/>
      </c>
      <c r="R81" s="46">
        <f>SUM(C81:Q81)</f>
        <v/>
      </c>
    </row>
    <row r="82">
      <c r="A82" s="10" t="inlineStr">
        <is>
          <t>Second flavour first run</t>
        </is>
      </c>
      <c r="C82" s="45">
        <f>C49*$B$6</f>
        <v/>
      </c>
      <c r="D82" s="45">
        <f>D49*$B$6</f>
        <v/>
      </c>
      <c r="E82" s="45">
        <f>E49*$B$6</f>
        <v/>
      </c>
      <c r="F82" s="45">
        <f>F49*$B$6</f>
        <v/>
      </c>
      <c r="G82" s="45">
        <f>G49*$B$6</f>
        <v/>
      </c>
      <c r="H82" s="45">
        <f>H49*$B$6</f>
        <v/>
      </c>
      <c r="I82" s="45">
        <f>I49*$B$6</f>
        <v/>
      </c>
      <c r="J82" s="45">
        <f>J49*$B$6</f>
        <v/>
      </c>
      <c r="K82" s="45">
        <f>K49*$B$6</f>
        <v/>
      </c>
      <c r="L82" s="45">
        <f>L49*$B$6</f>
        <v/>
      </c>
      <c r="M82" s="45">
        <f>M49*$B$6</f>
        <v/>
      </c>
      <c r="N82" s="45">
        <f>N49*$B$6</f>
        <v/>
      </c>
      <c r="O82" s="45">
        <f>O49*$B$6</f>
        <v/>
      </c>
      <c r="P82" s="45">
        <f>P49*$B$6</f>
        <v/>
      </c>
      <c r="Q82" s="45">
        <f>Q49*$B$6</f>
        <v/>
      </c>
      <c r="R82" s="46">
        <f>SUM(C82:Q82)</f>
        <v/>
      </c>
    </row>
    <row r="83">
      <c r="A83" s="10" t="inlineStr">
        <is>
          <t>Reorders placed (pouches and sticks, paid in full when placed)</t>
        </is>
      </c>
      <c r="C83" s="45">
        <f>C52*$B$6+C63*$B$7</f>
        <v/>
      </c>
      <c r="D83" s="45">
        <f>D52*$B$6+D63*$B$7</f>
        <v/>
      </c>
      <c r="E83" s="45">
        <f>E52*$B$6+E63*$B$7</f>
        <v/>
      </c>
      <c r="F83" s="45">
        <f>F52*$B$6+F63*$B$7</f>
        <v/>
      </c>
      <c r="G83" s="45">
        <f>G52*$B$6+G63*$B$7</f>
        <v/>
      </c>
      <c r="H83" s="45">
        <f>H52*$B$6+H63*$B$7</f>
        <v/>
      </c>
      <c r="I83" s="45">
        <f>I52*$B$6+I63*$B$7</f>
        <v/>
      </c>
      <c r="J83" s="45">
        <f>J52*$B$6+J63*$B$7</f>
        <v/>
      </c>
      <c r="K83" s="45">
        <f>K52*$B$6+K63*$B$7</f>
        <v/>
      </c>
      <c r="L83" s="45">
        <f>L52*$B$6+L63*$B$7</f>
        <v/>
      </c>
      <c r="M83" s="45">
        <f>M52*$B$6+M63*$B$7</f>
        <v/>
      </c>
      <c r="N83" s="45">
        <f>N52*$B$6+N63*$B$7</f>
        <v/>
      </c>
      <c r="O83" s="45">
        <f>O52*$B$6+O63*$B$7</f>
        <v/>
      </c>
      <c r="P83" s="45">
        <f>P52*$B$6+P63*$B$7</f>
        <v/>
      </c>
      <c r="Q83" s="45">
        <f>Q52*$B$6+Q63*$B$7</f>
        <v/>
      </c>
      <c r="R83" s="46">
        <f>SUM(C83:Q83)</f>
        <v/>
      </c>
    </row>
    <row r="84">
      <c r="A84" s="26" t="inlineStr">
        <is>
          <t>Total inventory purchases</t>
        </is>
      </c>
      <c r="C84" s="47">
        <f>SUM(C80:C83)</f>
        <v/>
      </c>
      <c r="D84" s="47">
        <f>SUM(D80:D83)</f>
        <v/>
      </c>
      <c r="E84" s="47">
        <f>SUM(E80:E83)</f>
        <v/>
      </c>
      <c r="F84" s="47">
        <f>SUM(F80:F83)</f>
        <v/>
      </c>
      <c r="G84" s="47">
        <f>SUM(G80:G83)</f>
        <v/>
      </c>
      <c r="H84" s="47">
        <f>SUM(H80:H83)</f>
        <v/>
      </c>
      <c r="I84" s="47">
        <f>SUM(I80:I83)</f>
        <v/>
      </c>
      <c r="J84" s="47">
        <f>SUM(J80:J83)</f>
        <v/>
      </c>
      <c r="K84" s="47">
        <f>SUM(K80:K83)</f>
        <v/>
      </c>
      <c r="L84" s="47">
        <f>SUM(L80:L83)</f>
        <v/>
      </c>
      <c r="M84" s="47">
        <f>SUM(M80:M83)</f>
        <v/>
      </c>
      <c r="N84" s="47">
        <f>SUM(N80:N83)</f>
        <v/>
      </c>
      <c r="O84" s="47">
        <f>SUM(O80:O83)</f>
        <v/>
      </c>
      <c r="P84" s="47">
        <f>SUM(P80:P83)</f>
        <v/>
      </c>
      <c r="Q84" s="47">
        <f>SUM(Q80:Q83)</f>
        <v/>
      </c>
      <c r="R84" s="46">
        <f>SUM(C84:Q84)</f>
        <v/>
      </c>
    </row>
    <row r="86">
      <c r="A86" s="7" t="inlineStr">
        <is>
          <t>Variable costs (cash out)</t>
        </is>
      </c>
      <c r="B86" s="8" t="n"/>
      <c r="C86" s="8" t="n"/>
      <c r="D86" s="8" t="n"/>
      <c r="E86" s="8" t="n"/>
      <c r="F86" s="8" t="n"/>
      <c r="G86" s="8" t="n"/>
      <c r="H86" s="8" t="n"/>
      <c r="I86" s="8" t="n"/>
      <c r="J86" s="8" t="n"/>
      <c r="K86" s="8" t="n"/>
      <c r="L86" s="8" t="n"/>
      <c r="M86" s="8" t="n"/>
      <c r="N86" s="8" t="n"/>
      <c r="O86" s="8" t="n"/>
      <c r="P86" s="8" t="n"/>
      <c r="Q86" s="8" t="n"/>
      <c r="R86" s="8" t="n"/>
    </row>
    <row r="87">
      <c r="A87" s="10" t="inlineStr">
        <is>
          <t>DTC shipping and packing</t>
        </is>
      </c>
      <c r="C87" s="45">
        <f>(C36+C37)*in_ShipOrder</f>
        <v/>
      </c>
      <c r="D87" s="45">
        <f>(D36+D37)*in_ShipOrder</f>
        <v/>
      </c>
      <c r="E87" s="45">
        <f>(E36+E37)*in_ShipOrder</f>
        <v/>
      </c>
      <c r="F87" s="45">
        <f>(F36+F37)*in_ShipOrder</f>
        <v/>
      </c>
      <c r="G87" s="45">
        <f>(G36+G37)*in_ShipOrder</f>
        <v/>
      </c>
      <c r="H87" s="45">
        <f>(H36+H37)*in_ShipOrder</f>
        <v/>
      </c>
      <c r="I87" s="45">
        <f>(I36+I37)*in_ShipOrder</f>
        <v/>
      </c>
      <c r="J87" s="45">
        <f>(J36+J37)*in_ShipOrder</f>
        <v/>
      </c>
      <c r="K87" s="45">
        <f>(K36+K37)*in_ShipOrder</f>
        <v/>
      </c>
      <c r="L87" s="45">
        <f>(L36+L37)*in_ShipOrder</f>
        <v/>
      </c>
      <c r="M87" s="45">
        <f>(M36+M37)*in_ShipOrder</f>
        <v/>
      </c>
      <c r="N87" s="45">
        <f>(N36+N37)*in_ShipOrder</f>
        <v/>
      </c>
      <c r="O87" s="45">
        <f>(O36+O37)*in_ShipOrder</f>
        <v/>
      </c>
      <c r="P87" s="45">
        <f>(P36+P37)*in_ShipOrder</f>
        <v/>
      </c>
      <c r="Q87" s="45">
        <f>(Q36+Q37)*in_ShipOrder</f>
        <v/>
      </c>
      <c r="R87" s="46">
        <f>SUM(C87:Q87)</f>
        <v/>
      </c>
    </row>
    <row r="88">
      <c r="A88" s="10" t="inlineStr">
        <is>
          <t>Freight to stores</t>
        </is>
      </c>
      <c r="C88" s="45">
        <f>C42*in_FreightPouch+C43*in_FreightStick</f>
        <v/>
      </c>
      <c r="D88" s="45">
        <f>D42*in_FreightPouch+D43*in_FreightStick</f>
        <v/>
      </c>
      <c r="E88" s="45">
        <f>E42*in_FreightPouch+E43*in_FreightStick</f>
        <v/>
      </c>
      <c r="F88" s="45">
        <f>F42*in_FreightPouch+F43*in_FreightStick</f>
        <v/>
      </c>
      <c r="G88" s="45">
        <f>G42*in_FreightPouch+G43*in_FreightStick</f>
        <v/>
      </c>
      <c r="H88" s="45">
        <f>H42*in_FreightPouch+H43*in_FreightStick</f>
        <v/>
      </c>
      <c r="I88" s="45">
        <f>I42*in_FreightPouch+I43*in_FreightStick</f>
        <v/>
      </c>
      <c r="J88" s="45">
        <f>J42*in_FreightPouch+J43*in_FreightStick</f>
        <v/>
      </c>
      <c r="K88" s="45">
        <f>K42*in_FreightPouch+K43*in_FreightStick</f>
        <v/>
      </c>
      <c r="L88" s="45">
        <f>L42*in_FreightPouch+L43*in_FreightStick</f>
        <v/>
      </c>
      <c r="M88" s="45">
        <f>M42*in_FreightPouch+M43*in_FreightStick</f>
        <v/>
      </c>
      <c r="N88" s="45">
        <f>N42*in_FreightPouch+N43*in_FreightStick</f>
        <v/>
      </c>
      <c r="O88" s="45">
        <f>O42*in_FreightPouch+O43*in_FreightStick</f>
        <v/>
      </c>
      <c r="P88" s="45">
        <f>P42*in_FreightPouch+P43*in_FreightStick</f>
        <v/>
      </c>
      <c r="Q88" s="45">
        <f>Q42*in_FreightPouch+Q43*in_FreightStick</f>
        <v/>
      </c>
      <c r="R88" s="46">
        <f>SUM(C88:Q88)</f>
        <v/>
      </c>
    </row>
    <row r="89">
      <c r="A89" s="10" t="inlineStr">
        <is>
          <t>Card fees</t>
        </is>
      </c>
      <c r="C89" s="45">
        <f>C74*in_CardPct+(C36+C37)*in_CardFixed</f>
        <v/>
      </c>
      <c r="D89" s="45">
        <f>D74*in_CardPct+(D36+D37)*in_CardFixed</f>
        <v/>
      </c>
      <c r="E89" s="45">
        <f>E74*in_CardPct+(E36+E37)*in_CardFixed</f>
        <v/>
      </c>
      <c r="F89" s="45">
        <f>F74*in_CardPct+(F36+F37)*in_CardFixed</f>
        <v/>
      </c>
      <c r="G89" s="45">
        <f>G74*in_CardPct+(G36+G37)*in_CardFixed</f>
        <v/>
      </c>
      <c r="H89" s="45">
        <f>H74*in_CardPct+(H36+H37)*in_CardFixed</f>
        <v/>
      </c>
      <c r="I89" s="45">
        <f>I74*in_CardPct+(I36+I37)*in_CardFixed</f>
        <v/>
      </c>
      <c r="J89" s="45">
        <f>J74*in_CardPct+(J36+J37)*in_CardFixed</f>
        <v/>
      </c>
      <c r="K89" s="45">
        <f>K74*in_CardPct+(K36+K37)*in_CardFixed</f>
        <v/>
      </c>
      <c r="L89" s="45">
        <f>L74*in_CardPct+(L36+L37)*in_CardFixed</f>
        <v/>
      </c>
      <c r="M89" s="45">
        <f>M74*in_CardPct+(M36+M37)*in_CardFixed</f>
        <v/>
      </c>
      <c r="N89" s="45">
        <f>N74*in_CardPct+(N36+N37)*in_CardFixed</f>
        <v/>
      </c>
      <c r="O89" s="45">
        <f>O74*in_CardPct+(O36+O37)*in_CardFixed</f>
        <v/>
      </c>
      <c r="P89" s="45">
        <f>P74*in_CardPct+(P36+P37)*in_CardFixed</f>
        <v/>
      </c>
      <c r="Q89" s="45">
        <f>Q74*in_CardPct+(Q36+Q37)*in_CardFixed</f>
        <v/>
      </c>
      <c r="R89" s="46">
        <f>SUM(C89:Q89)</f>
        <v/>
      </c>
    </row>
    <row r="90">
      <c r="A90" s="10" t="inlineStr">
        <is>
          <t>Founding offer free shakers</t>
        </is>
      </c>
      <c r="C90" s="45">
        <f>C27*in_ShakerCost</f>
        <v/>
      </c>
      <c r="D90" s="45">
        <f>D27*in_ShakerCost</f>
        <v/>
      </c>
      <c r="E90" s="45">
        <f>E27*in_ShakerCost</f>
        <v/>
      </c>
      <c r="F90" s="45">
        <f>F27*in_ShakerCost</f>
        <v/>
      </c>
      <c r="G90" s="45">
        <f>G27*in_ShakerCost</f>
        <v/>
      </c>
      <c r="H90" s="45">
        <f>H27*in_ShakerCost</f>
        <v/>
      </c>
      <c r="I90" s="45">
        <f>I27*in_ShakerCost</f>
        <v/>
      </c>
      <c r="J90" s="45">
        <f>J27*in_ShakerCost</f>
        <v/>
      </c>
      <c r="K90" s="45">
        <f>K27*in_ShakerCost</f>
        <v/>
      </c>
      <c r="L90" s="45">
        <f>L27*in_ShakerCost</f>
        <v/>
      </c>
      <c r="M90" s="45">
        <f>M27*in_ShakerCost</f>
        <v/>
      </c>
      <c r="N90" s="45">
        <f>N27*in_ShakerCost</f>
        <v/>
      </c>
      <c r="O90" s="45">
        <f>O27*in_ShakerCost</f>
        <v/>
      </c>
      <c r="P90" s="45">
        <f>P27*in_ShakerCost</f>
        <v/>
      </c>
      <c r="Q90" s="45">
        <f>Q27*in_ShakerCost</f>
        <v/>
      </c>
      <c r="R90" s="46">
        <f>SUM(C90:Q90)</f>
        <v/>
      </c>
    </row>
    <row r="91">
      <c r="A91" s="26" t="inlineStr">
        <is>
          <t>Total variable costs</t>
        </is>
      </c>
      <c r="C91" s="47">
        <f>SUM(C87:C90)</f>
        <v/>
      </c>
      <c r="D91" s="47">
        <f>SUM(D87:D90)</f>
        <v/>
      </c>
      <c r="E91" s="47">
        <f>SUM(E87:E90)</f>
        <v/>
      </c>
      <c r="F91" s="47">
        <f>SUM(F87:F90)</f>
        <v/>
      </c>
      <c r="G91" s="47">
        <f>SUM(G87:G90)</f>
        <v/>
      </c>
      <c r="H91" s="47">
        <f>SUM(H87:H90)</f>
        <v/>
      </c>
      <c r="I91" s="47">
        <f>SUM(I87:I90)</f>
        <v/>
      </c>
      <c r="J91" s="47">
        <f>SUM(J87:J90)</f>
        <v/>
      </c>
      <c r="K91" s="47">
        <f>SUM(K87:K90)</f>
        <v/>
      </c>
      <c r="L91" s="47">
        <f>SUM(L87:L90)</f>
        <v/>
      </c>
      <c r="M91" s="47">
        <f>SUM(M87:M90)</f>
        <v/>
      </c>
      <c r="N91" s="47">
        <f>SUM(N87:N90)</f>
        <v/>
      </c>
      <c r="O91" s="47">
        <f>SUM(O87:O90)</f>
        <v/>
      </c>
      <c r="P91" s="47">
        <f>SUM(P87:P90)</f>
        <v/>
      </c>
      <c r="Q91" s="47">
        <f>SUM(Q87:Q90)</f>
        <v/>
      </c>
      <c r="R91" s="46">
        <f>SUM(C91:Q91)</f>
        <v/>
      </c>
    </row>
    <row r="93">
      <c r="A93" s="7" t="inlineStr">
        <is>
          <t>Marketing (cash out)</t>
        </is>
      </c>
      <c r="B93" s="8" t="n"/>
      <c r="C93" s="8" t="n"/>
      <c r="D93" s="8" t="n"/>
      <c r="E93" s="8" t="n"/>
      <c r="F93" s="8" t="n"/>
      <c r="G93" s="8" t="n"/>
      <c r="H93" s="8" t="n"/>
      <c r="I93" s="8" t="n"/>
      <c r="J93" s="8" t="n"/>
      <c r="K93" s="8" t="n"/>
      <c r="L93" s="8" t="n"/>
      <c r="M93" s="8" t="n"/>
      <c r="N93" s="8" t="n"/>
      <c r="O93" s="8" t="n"/>
      <c r="P93" s="8" t="n"/>
      <c r="Q93" s="8" t="n"/>
      <c r="R93" s="8" t="n"/>
    </row>
    <row r="94">
      <c r="A94" s="10" t="inlineStr">
        <is>
          <t>Paid acquisition (paid new customers x CAC)</t>
        </is>
      </c>
      <c r="C94" s="45">
        <f>C29*in_CAC</f>
        <v/>
      </c>
      <c r="D94" s="45">
        <f>D29*in_CAC</f>
        <v/>
      </c>
      <c r="E94" s="45">
        <f>E29*in_CAC</f>
        <v/>
      </c>
      <c r="F94" s="45">
        <f>F29*in_CAC</f>
        <v/>
      </c>
      <c r="G94" s="45">
        <f>G29*in_CAC</f>
        <v/>
      </c>
      <c r="H94" s="45">
        <f>H29*in_CAC</f>
        <v/>
      </c>
      <c r="I94" s="45">
        <f>I29*in_CAC</f>
        <v/>
      </c>
      <c r="J94" s="45">
        <f>J29*in_CAC</f>
        <v/>
      </c>
      <c r="K94" s="45">
        <f>K29*in_CAC</f>
        <v/>
      </c>
      <c r="L94" s="45">
        <f>L29*in_CAC</f>
        <v/>
      </c>
      <c r="M94" s="45">
        <f>M29*in_CAC</f>
        <v/>
      </c>
      <c r="N94" s="45">
        <f>N29*in_CAC</f>
        <v/>
      </c>
      <c r="O94" s="45">
        <f>O29*in_CAC</f>
        <v/>
      </c>
      <c r="P94" s="45">
        <f>P29*in_CAC</f>
        <v/>
      </c>
      <c r="Q94" s="45">
        <f>Q29*in_CAC</f>
        <v/>
      </c>
      <c r="R94" s="46">
        <f>SUM(C94:Q94)</f>
        <v/>
      </c>
    </row>
    <row r="95">
      <c r="A95" s="10" t="inlineStr">
        <is>
          <t>Sampling and content</t>
        </is>
      </c>
      <c r="C95" s="45">
        <f>IF(C$23&gt;=DATE(YEAR(in_SampleStart),MONTH(in_SampleStart),1),in_SampleBudget,0)</f>
        <v/>
      </c>
      <c r="D95" s="45">
        <f>IF(D$23&gt;=DATE(YEAR(in_SampleStart),MONTH(in_SampleStart),1),in_SampleBudget,0)</f>
        <v/>
      </c>
      <c r="E95" s="45">
        <f>IF(E$23&gt;=DATE(YEAR(in_SampleStart),MONTH(in_SampleStart),1),in_SampleBudget,0)</f>
        <v/>
      </c>
      <c r="F95" s="45">
        <f>IF(F$23&gt;=DATE(YEAR(in_SampleStart),MONTH(in_SampleStart),1),in_SampleBudget,0)</f>
        <v/>
      </c>
      <c r="G95" s="45">
        <f>IF(G$23&gt;=DATE(YEAR(in_SampleStart),MONTH(in_SampleStart),1),in_SampleBudget,0)</f>
        <v/>
      </c>
      <c r="H95" s="45">
        <f>IF(H$23&gt;=DATE(YEAR(in_SampleStart),MONTH(in_SampleStart),1),in_SampleBudget,0)</f>
        <v/>
      </c>
      <c r="I95" s="45">
        <f>IF(I$23&gt;=DATE(YEAR(in_SampleStart),MONTH(in_SampleStart),1),in_SampleBudget,0)</f>
        <v/>
      </c>
      <c r="J95" s="45">
        <f>IF(J$23&gt;=DATE(YEAR(in_SampleStart),MONTH(in_SampleStart),1),in_SampleBudget,0)</f>
        <v/>
      </c>
      <c r="K95" s="45">
        <f>IF(K$23&gt;=DATE(YEAR(in_SampleStart),MONTH(in_SampleStart),1),in_SampleBudget,0)</f>
        <v/>
      </c>
      <c r="L95" s="45">
        <f>IF(L$23&gt;=DATE(YEAR(in_SampleStart),MONTH(in_SampleStart),1),in_SampleBudget,0)</f>
        <v/>
      </c>
      <c r="M95" s="45">
        <f>IF(M$23&gt;=DATE(YEAR(in_SampleStart),MONTH(in_SampleStart),1),in_SampleBudget,0)</f>
        <v/>
      </c>
      <c r="N95" s="45">
        <f>IF(N$23&gt;=DATE(YEAR(in_SampleStart),MONTH(in_SampleStart),1),in_SampleBudget,0)</f>
        <v/>
      </c>
      <c r="O95" s="45">
        <f>IF(O$23&gt;=DATE(YEAR(in_SampleStart),MONTH(in_SampleStart),1),in_SampleBudget,0)</f>
        <v/>
      </c>
      <c r="P95" s="45">
        <f>IF(P$23&gt;=DATE(YEAR(in_SampleStart),MONTH(in_SampleStart),1),in_SampleBudget,0)</f>
        <v/>
      </c>
      <c r="Q95" s="45">
        <f>IF(Q$23&gt;=DATE(YEAR(in_SampleStart),MONTH(in_SampleStart),1),in_SampleBudget,0)</f>
        <v/>
      </c>
      <c r="R95" s="46">
        <f>SUM(C95:Q95)</f>
        <v/>
      </c>
    </row>
    <row r="96">
      <c r="A96" s="26" t="inlineStr">
        <is>
          <t>Total marketing</t>
        </is>
      </c>
      <c r="C96" s="47">
        <f>C94+C95</f>
        <v/>
      </c>
      <c r="D96" s="47">
        <f>D94+D95</f>
        <v/>
      </c>
      <c r="E96" s="47">
        <f>E94+E95</f>
        <v/>
      </c>
      <c r="F96" s="47">
        <f>F94+F95</f>
        <v/>
      </c>
      <c r="G96" s="47">
        <f>G94+G95</f>
        <v/>
      </c>
      <c r="H96" s="47">
        <f>H94+H95</f>
        <v/>
      </c>
      <c r="I96" s="47">
        <f>I94+I95</f>
        <v/>
      </c>
      <c r="J96" s="47">
        <f>J94+J95</f>
        <v/>
      </c>
      <c r="K96" s="47">
        <f>K94+K95</f>
        <v/>
      </c>
      <c r="L96" s="47">
        <f>L94+L95</f>
        <v/>
      </c>
      <c r="M96" s="47">
        <f>M94+M95</f>
        <v/>
      </c>
      <c r="N96" s="47">
        <f>N94+N95</f>
        <v/>
      </c>
      <c r="O96" s="47">
        <f>O94+O95</f>
        <v/>
      </c>
      <c r="P96" s="47">
        <f>P94+P95</f>
        <v/>
      </c>
      <c r="Q96" s="47">
        <f>Q94+Q95</f>
        <v/>
      </c>
      <c r="R96" s="46">
        <f>SUM(C96:Q96)</f>
        <v/>
      </c>
    </row>
    <row r="98">
      <c r="A98" s="7" t="inlineStr">
        <is>
          <t>Fixed costs (cash out)</t>
        </is>
      </c>
      <c r="B98" s="8" t="n"/>
      <c r="C98" s="8" t="n"/>
      <c r="D98" s="8" t="n"/>
      <c r="E98" s="8" t="n"/>
      <c r="F98" s="8" t="n"/>
      <c r="G98" s="8" t="n"/>
      <c r="H98" s="8" t="n"/>
      <c r="I98" s="8" t="n"/>
      <c r="J98" s="8" t="n"/>
      <c r="K98" s="8" t="n"/>
      <c r="L98" s="8" t="n"/>
      <c r="M98" s="8" t="n"/>
      <c r="N98" s="8" t="n"/>
      <c r="O98" s="8" t="n"/>
      <c r="P98" s="8" t="n"/>
      <c r="Q98" s="8" t="n"/>
      <c r="R98" s="8" t="n"/>
    </row>
    <row r="99">
      <c r="A99" s="10" t="inlineStr">
        <is>
          <t>Shopify Basic</t>
        </is>
      </c>
      <c r="C99" s="45">
        <f>IF(C$23&gt;=DATE(YEAR(in_FxShopify_Start),MONTH(in_FxShopify_Start),1),in_FxShopify,0)</f>
        <v/>
      </c>
      <c r="D99" s="45">
        <f>IF(D$23&gt;=DATE(YEAR(in_FxShopify_Start),MONTH(in_FxShopify_Start),1),in_FxShopify,0)</f>
        <v/>
      </c>
      <c r="E99" s="45">
        <f>IF(E$23&gt;=DATE(YEAR(in_FxShopify_Start),MONTH(in_FxShopify_Start),1),in_FxShopify,0)</f>
        <v/>
      </c>
      <c r="F99" s="45">
        <f>IF(F$23&gt;=DATE(YEAR(in_FxShopify_Start),MONTH(in_FxShopify_Start),1),in_FxShopify,0)</f>
        <v/>
      </c>
      <c r="G99" s="45">
        <f>IF(G$23&gt;=DATE(YEAR(in_FxShopify_Start),MONTH(in_FxShopify_Start),1),in_FxShopify,0)</f>
        <v/>
      </c>
      <c r="H99" s="45">
        <f>IF(H$23&gt;=DATE(YEAR(in_FxShopify_Start),MONTH(in_FxShopify_Start),1),in_FxShopify,0)</f>
        <v/>
      </c>
      <c r="I99" s="45">
        <f>IF(I$23&gt;=DATE(YEAR(in_FxShopify_Start),MONTH(in_FxShopify_Start),1),in_FxShopify,0)</f>
        <v/>
      </c>
      <c r="J99" s="45">
        <f>IF(J$23&gt;=DATE(YEAR(in_FxShopify_Start),MONTH(in_FxShopify_Start),1),in_FxShopify,0)</f>
        <v/>
      </c>
      <c r="K99" s="45">
        <f>IF(K$23&gt;=DATE(YEAR(in_FxShopify_Start),MONTH(in_FxShopify_Start),1),in_FxShopify,0)</f>
        <v/>
      </c>
      <c r="L99" s="45">
        <f>IF(L$23&gt;=DATE(YEAR(in_FxShopify_Start),MONTH(in_FxShopify_Start),1),in_FxShopify,0)</f>
        <v/>
      </c>
      <c r="M99" s="45">
        <f>IF(M$23&gt;=DATE(YEAR(in_FxShopify_Start),MONTH(in_FxShopify_Start),1),in_FxShopify,0)</f>
        <v/>
      </c>
      <c r="N99" s="45">
        <f>IF(N$23&gt;=DATE(YEAR(in_FxShopify_Start),MONTH(in_FxShopify_Start),1),in_FxShopify,0)</f>
        <v/>
      </c>
      <c r="O99" s="45">
        <f>IF(O$23&gt;=DATE(YEAR(in_FxShopify_Start),MONTH(in_FxShopify_Start),1),in_FxShopify,0)</f>
        <v/>
      </c>
      <c r="P99" s="45">
        <f>IF(P$23&gt;=DATE(YEAR(in_FxShopify_Start),MONTH(in_FxShopify_Start),1),in_FxShopify,0)</f>
        <v/>
      </c>
      <c r="Q99" s="45">
        <f>IF(Q$23&gt;=DATE(YEAR(in_FxShopify_Start),MONTH(in_FxShopify_Start),1),in_FxShopify,0)</f>
        <v/>
      </c>
      <c r="R99" s="46">
        <f>SUM(C99:Q99)</f>
        <v/>
      </c>
    </row>
    <row r="100">
      <c r="A100" s="10" t="inlineStr">
        <is>
          <t>Klaviyo email</t>
        </is>
      </c>
      <c r="C100" s="45">
        <f>IF(C$23&gt;=DATE(YEAR(in_FxKlaviyo_Start),MONTH(in_FxKlaviyo_Start),1),in_FxKlaviyo,0)</f>
        <v/>
      </c>
      <c r="D100" s="45">
        <f>IF(D$23&gt;=DATE(YEAR(in_FxKlaviyo_Start),MONTH(in_FxKlaviyo_Start),1),in_FxKlaviyo,0)</f>
        <v/>
      </c>
      <c r="E100" s="45">
        <f>IF(E$23&gt;=DATE(YEAR(in_FxKlaviyo_Start),MONTH(in_FxKlaviyo_Start),1),in_FxKlaviyo,0)</f>
        <v/>
      </c>
      <c r="F100" s="45">
        <f>IF(F$23&gt;=DATE(YEAR(in_FxKlaviyo_Start),MONTH(in_FxKlaviyo_Start),1),in_FxKlaviyo,0)</f>
        <v/>
      </c>
      <c r="G100" s="45">
        <f>IF(G$23&gt;=DATE(YEAR(in_FxKlaviyo_Start),MONTH(in_FxKlaviyo_Start),1),in_FxKlaviyo,0)</f>
        <v/>
      </c>
      <c r="H100" s="45">
        <f>IF(H$23&gt;=DATE(YEAR(in_FxKlaviyo_Start),MONTH(in_FxKlaviyo_Start),1),in_FxKlaviyo,0)</f>
        <v/>
      </c>
      <c r="I100" s="45">
        <f>IF(I$23&gt;=DATE(YEAR(in_FxKlaviyo_Start),MONTH(in_FxKlaviyo_Start),1),in_FxKlaviyo,0)</f>
        <v/>
      </c>
      <c r="J100" s="45">
        <f>IF(J$23&gt;=DATE(YEAR(in_FxKlaviyo_Start),MONTH(in_FxKlaviyo_Start),1),in_FxKlaviyo,0)</f>
        <v/>
      </c>
      <c r="K100" s="45">
        <f>IF(K$23&gt;=DATE(YEAR(in_FxKlaviyo_Start),MONTH(in_FxKlaviyo_Start),1),in_FxKlaviyo,0)</f>
        <v/>
      </c>
      <c r="L100" s="45">
        <f>IF(L$23&gt;=DATE(YEAR(in_FxKlaviyo_Start),MONTH(in_FxKlaviyo_Start),1),in_FxKlaviyo,0)</f>
        <v/>
      </c>
      <c r="M100" s="45">
        <f>IF(M$23&gt;=DATE(YEAR(in_FxKlaviyo_Start),MONTH(in_FxKlaviyo_Start),1),in_FxKlaviyo,0)</f>
        <v/>
      </c>
      <c r="N100" s="45">
        <f>IF(N$23&gt;=DATE(YEAR(in_FxKlaviyo_Start),MONTH(in_FxKlaviyo_Start),1),in_FxKlaviyo,0)</f>
        <v/>
      </c>
      <c r="O100" s="45">
        <f>IF(O$23&gt;=DATE(YEAR(in_FxKlaviyo_Start),MONTH(in_FxKlaviyo_Start),1),in_FxKlaviyo,0)</f>
        <v/>
      </c>
      <c r="P100" s="45">
        <f>IF(P$23&gt;=DATE(YEAR(in_FxKlaviyo_Start),MONTH(in_FxKlaviyo_Start),1),in_FxKlaviyo,0)</f>
        <v/>
      </c>
      <c r="Q100" s="45">
        <f>IF(Q$23&gt;=DATE(YEAR(in_FxKlaviyo_Start),MONTH(in_FxKlaviyo_Start),1),in_FxKlaviyo,0)</f>
        <v/>
      </c>
      <c r="R100" s="46">
        <f>SUM(C100:Q100)</f>
        <v/>
      </c>
    </row>
    <row r="101">
      <c r="A101" s="10" t="inlineStr">
        <is>
          <t>Product liability insurance</t>
        </is>
      </c>
      <c r="C101" s="45">
        <f>IF(C$23&gt;=DATE(YEAR(in_FxInsurance_Start),MONTH(in_FxInsurance_Start),1),in_FxInsurance,0)</f>
        <v/>
      </c>
      <c r="D101" s="45">
        <f>IF(D$23&gt;=DATE(YEAR(in_FxInsurance_Start),MONTH(in_FxInsurance_Start),1),in_FxInsurance,0)</f>
        <v/>
      </c>
      <c r="E101" s="45">
        <f>IF(E$23&gt;=DATE(YEAR(in_FxInsurance_Start),MONTH(in_FxInsurance_Start),1),in_FxInsurance,0)</f>
        <v/>
      </c>
      <c r="F101" s="45">
        <f>IF(F$23&gt;=DATE(YEAR(in_FxInsurance_Start),MONTH(in_FxInsurance_Start),1),in_FxInsurance,0)</f>
        <v/>
      </c>
      <c r="G101" s="45">
        <f>IF(G$23&gt;=DATE(YEAR(in_FxInsurance_Start),MONTH(in_FxInsurance_Start),1),in_FxInsurance,0)</f>
        <v/>
      </c>
      <c r="H101" s="45">
        <f>IF(H$23&gt;=DATE(YEAR(in_FxInsurance_Start),MONTH(in_FxInsurance_Start),1),in_FxInsurance,0)</f>
        <v/>
      </c>
      <c r="I101" s="45">
        <f>IF(I$23&gt;=DATE(YEAR(in_FxInsurance_Start),MONTH(in_FxInsurance_Start),1),in_FxInsurance,0)</f>
        <v/>
      </c>
      <c r="J101" s="45">
        <f>IF(J$23&gt;=DATE(YEAR(in_FxInsurance_Start),MONTH(in_FxInsurance_Start),1),in_FxInsurance,0)</f>
        <v/>
      </c>
      <c r="K101" s="45">
        <f>IF(K$23&gt;=DATE(YEAR(in_FxInsurance_Start),MONTH(in_FxInsurance_Start),1),in_FxInsurance,0)</f>
        <v/>
      </c>
      <c r="L101" s="45">
        <f>IF(L$23&gt;=DATE(YEAR(in_FxInsurance_Start),MONTH(in_FxInsurance_Start),1),in_FxInsurance,0)</f>
        <v/>
      </c>
      <c r="M101" s="45">
        <f>IF(M$23&gt;=DATE(YEAR(in_FxInsurance_Start),MONTH(in_FxInsurance_Start),1),in_FxInsurance,0)</f>
        <v/>
      </c>
      <c r="N101" s="45">
        <f>IF(N$23&gt;=DATE(YEAR(in_FxInsurance_Start),MONTH(in_FxInsurance_Start),1),in_FxInsurance,0)</f>
        <v/>
      </c>
      <c r="O101" s="45">
        <f>IF(O$23&gt;=DATE(YEAR(in_FxInsurance_Start),MONTH(in_FxInsurance_Start),1),in_FxInsurance,0)</f>
        <v/>
      </c>
      <c r="P101" s="45">
        <f>IF(P$23&gt;=DATE(YEAR(in_FxInsurance_Start),MONTH(in_FxInsurance_Start),1),in_FxInsurance,0)</f>
        <v/>
      </c>
      <c r="Q101" s="45">
        <f>IF(Q$23&gt;=DATE(YEAR(in_FxInsurance_Start),MONTH(in_FxInsurance_Start),1),in_FxInsurance,0)</f>
        <v/>
      </c>
      <c r="R101" s="46">
        <f>SUM(C101:Q101)</f>
        <v/>
      </c>
    </row>
    <row r="102">
      <c r="A102" s="10" t="inlineStr">
        <is>
          <t>Other software (SMS credits, apps)</t>
        </is>
      </c>
      <c r="C102" s="45">
        <f>IF(C$23&gt;=DATE(YEAR(in_FxSoftware_Start),MONTH(in_FxSoftware_Start),1),in_FxSoftware,0)</f>
        <v/>
      </c>
      <c r="D102" s="45">
        <f>IF(D$23&gt;=DATE(YEAR(in_FxSoftware_Start),MONTH(in_FxSoftware_Start),1),in_FxSoftware,0)</f>
        <v/>
      </c>
      <c r="E102" s="45">
        <f>IF(E$23&gt;=DATE(YEAR(in_FxSoftware_Start),MONTH(in_FxSoftware_Start),1),in_FxSoftware,0)</f>
        <v/>
      </c>
      <c r="F102" s="45">
        <f>IF(F$23&gt;=DATE(YEAR(in_FxSoftware_Start),MONTH(in_FxSoftware_Start),1),in_FxSoftware,0)</f>
        <v/>
      </c>
      <c r="G102" s="45">
        <f>IF(G$23&gt;=DATE(YEAR(in_FxSoftware_Start),MONTH(in_FxSoftware_Start),1),in_FxSoftware,0)</f>
        <v/>
      </c>
      <c r="H102" s="45">
        <f>IF(H$23&gt;=DATE(YEAR(in_FxSoftware_Start),MONTH(in_FxSoftware_Start),1),in_FxSoftware,0)</f>
        <v/>
      </c>
      <c r="I102" s="45">
        <f>IF(I$23&gt;=DATE(YEAR(in_FxSoftware_Start),MONTH(in_FxSoftware_Start),1),in_FxSoftware,0)</f>
        <v/>
      </c>
      <c r="J102" s="45">
        <f>IF(J$23&gt;=DATE(YEAR(in_FxSoftware_Start),MONTH(in_FxSoftware_Start),1),in_FxSoftware,0)</f>
        <v/>
      </c>
      <c r="K102" s="45">
        <f>IF(K$23&gt;=DATE(YEAR(in_FxSoftware_Start),MONTH(in_FxSoftware_Start),1),in_FxSoftware,0)</f>
        <v/>
      </c>
      <c r="L102" s="45">
        <f>IF(L$23&gt;=DATE(YEAR(in_FxSoftware_Start),MONTH(in_FxSoftware_Start),1),in_FxSoftware,0)</f>
        <v/>
      </c>
      <c r="M102" s="45">
        <f>IF(M$23&gt;=DATE(YEAR(in_FxSoftware_Start),MONTH(in_FxSoftware_Start),1),in_FxSoftware,0)</f>
        <v/>
      </c>
      <c r="N102" s="45">
        <f>IF(N$23&gt;=DATE(YEAR(in_FxSoftware_Start),MONTH(in_FxSoftware_Start),1),in_FxSoftware,0)</f>
        <v/>
      </c>
      <c r="O102" s="45">
        <f>IF(O$23&gt;=DATE(YEAR(in_FxSoftware_Start),MONTH(in_FxSoftware_Start),1),in_FxSoftware,0)</f>
        <v/>
      </c>
      <c r="P102" s="45">
        <f>IF(P$23&gt;=DATE(YEAR(in_FxSoftware_Start),MONTH(in_FxSoftware_Start),1),in_FxSoftware,0)</f>
        <v/>
      </c>
      <c r="Q102" s="45">
        <f>IF(Q$23&gt;=DATE(YEAR(in_FxSoftware_Start),MONTH(in_FxSoftware_Start),1),in_FxSoftware,0)</f>
        <v/>
      </c>
      <c r="R102" s="46">
        <f>SUM(C102:Q102)</f>
        <v/>
      </c>
    </row>
    <row r="103">
      <c r="A103" s="10" t="inlineStr">
        <is>
          <t>Bookkeeping</t>
        </is>
      </c>
      <c r="C103" s="45">
        <f>IF(C$23&gt;=DATE(YEAR(in_FxBooks_Start),MONTH(in_FxBooks_Start),1),in_FxBooks,0)</f>
        <v/>
      </c>
      <c r="D103" s="45">
        <f>IF(D$23&gt;=DATE(YEAR(in_FxBooks_Start),MONTH(in_FxBooks_Start),1),in_FxBooks,0)</f>
        <v/>
      </c>
      <c r="E103" s="45">
        <f>IF(E$23&gt;=DATE(YEAR(in_FxBooks_Start),MONTH(in_FxBooks_Start),1),in_FxBooks,0)</f>
        <v/>
      </c>
      <c r="F103" s="45">
        <f>IF(F$23&gt;=DATE(YEAR(in_FxBooks_Start),MONTH(in_FxBooks_Start),1),in_FxBooks,0)</f>
        <v/>
      </c>
      <c r="G103" s="45">
        <f>IF(G$23&gt;=DATE(YEAR(in_FxBooks_Start),MONTH(in_FxBooks_Start),1),in_FxBooks,0)</f>
        <v/>
      </c>
      <c r="H103" s="45">
        <f>IF(H$23&gt;=DATE(YEAR(in_FxBooks_Start),MONTH(in_FxBooks_Start),1),in_FxBooks,0)</f>
        <v/>
      </c>
      <c r="I103" s="45">
        <f>IF(I$23&gt;=DATE(YEAR(in_FxBooks_Start),MONTH(in_FxBooks_Start),1),in_FxBooks,0)</f>
        <v/>
      </c>
      <c r="J103" s="45">
        <f>IF(J$23&gt;=DATE(YEAR(in_FxBooks_Start),MONTH(in_FxBooks_Start),1),in_FxBooks,0)</f>
        <v/>
      </c>
      <c r="K103" s="45">
        <f>IF(K$23&gt;=DATE(YEAR(in_FxBooks_Start),MONTH(in_FxBooks_Start),1),in_FxBooks,0)</f>
        <v/>
      </c>
      <c r="L103" s="45">
        <f>IF(L$23&gt;=DATE(YEAR(in_FxBooks_Start),MONTH(in_FxBooks_Start),1),in_FxBooks,0)</f>
        <v/>
      </c>
      <c r="M103" s="45">
        <f>IF(M$23&gt;=DATE(YEAR(in_FxBooks_Start),MONTH(in_FxBooks_Start),1),in_FxBooks,0)</f>
        <v/>
      </c>
      <c r="N103" s="45">
        <f>IF(N$23&gt;=DATE(YEAR(in_FxBooks_Start),MONTH(in_FxBooks_Start),1),in_FxBooks,0)</f>
        <v/>
      </c>
      <c r="O103" s="45">
        <f>IF(O$23&gt;=DATE(YEAR(in_FxBooks_Start),MONTH(in_FxBooks_Start),1),in_FxBooks,0)</f>
        <v/>
      </c>
      <c r="P103" s="45">
        <f>IF(P$23&gt;=DATE(YEAR(in_FxBooks_Start),MONTH(in_FxBooks_Start),1),in_FxBooks,0)</f>
        <v/>
      </c>
      <c r="Q103" s="45">
        <f>IF(Q$23&gt;=DATE(YEAR(in_FxBooks_Start),MONTH(in_FxBooks_Start),1),in_FxBooks,0)</f>
        <v/>
      </c>
      <c r="R103" s="46">
        <f>SUM(C103:Q103)</f>
        <v/>
      </c>
    </row>
    <row r="104">
      <c r="A104" s="10" t="inlineStr">
        <is>
          <t>Amazon Professional plan</t>
        </is>
      </c>
      <c r="C104" s="45">
        <f>IF(C$23&gt;=DATE(YEAR(in_FxAmazon_Start),MONTH(in_FxAmazon_Start),1),in_FxAmazon,0)</f>
        <v/>
      </c>
      <c r="D104" s="45">
        <f>IF(D$23&gt;=DATE(YEAR(in_FxAmazon_Start),MONTH(in_FxAmazon_Start),1),in_FxAmazon,0)</f>
        <v/>
      </c>
      <c r="E104" s="45">
        <f>IF(E$23&gt;=DATE(YEAR(in_FxAmazon_Start),MONTH(in_FxAmazon_Start),1),in_FxAmazon,0)</f>
        <v/>
      </c>
      <c r="F104" s="45">
        <f>IF(F$23&gt;=DATE(YEAR(in_FxAmazon_Start),MONTH(in_FxAmazon_Start),1),in_FxAmazon,0)</f>
        <v/>
      </c>
      <c r="G104" s="45">
        <f>IF(G$23&gt;=DATE(YEAR(in_FxAmazon_Start),MONTH(in_FxAmazon_Start),1),in_FxAmazon,0)</f>
        <v/>
      </c>
      <c r="H104" s="45">
        <f>IF(H$23&gt;=DATE(YEAR(in_FxAmazon_Start),MONTH(in_FxAmazon_Start),1),in_FxAmazon,0)</f>
        <v/>
      </c>
      <c r="I104" s="45">
        <f>IF(I$23&gt;=DATE(YEAR(in_FxAmazon_Start),MONTH(in_FxAmazon_Start),1),in_FxAmazon,0)</f>
        <v/>
      </c>
      <c r="J104" s="45">
        <f>IF(J$23&gt;=DATE(YEAR(in_FxAmazon_Start),MONTH(in_FxAmazon_Start),1),in_FxAmazon,0)</f>
        <v/>
      </c>
      <c r="K104" s="45">
        <f>IF(K$23&gt;=DATE(YEAR(in_FxAmazon_Start),MONTH(in_FxAmazon_Start),1),in_FxAmazon,0)</f>
        <v/>
      </c>
      <c r="L104" s="45">
        <f>IF(L$23&gt;=DATE(YEAR(in_FxAmazon_Start),MONTH(in_FxAmazon_Start),1),in_FxAmazon,0)</f>
        <v/>
      </c>
      <c r="M104" s="45">
        <f>IF(M$23&gt;=DATE(YEAR(in_FxAmazon_Start),MONTH(in_FxAmazon_Start),1),in_FxAmazon,0)</f>
        <v/>
      </c>
      <c r="N104" s="45">
        <f>IF(N$23&gt;=DATE(YEAR(in_FxAmazon_Start),MONTH(in_FxAmazon_Start),1),in_FxAmazon,0)</f>
        <v/>
      </c>
      <c r="O104" s="45">
        <f>IF(O$23&gt;=DATE(YEAR(in_FxAmazon_Start),MONTH(in_FxAmazon_Start),1),in_FxAmazon,0)</f>
        <v/>
      </c>
      <c r="P104" s="45">
        <f>IF(P$23&gt;=DATE(YEAR(in_FxAmazon_Start),MONTH(in_FxAmazon_Start),1),in_FxAmazon,0)</f>
        <v/>
      </c>
      <c r="Q104" s="45">
        <f>IF(Q$23&gt;=DATE(YEAR(in_FxAmazon_Start),MONTH(in_FxAmazon_Start),1),in_FxAmazon,0)</f>
        <v/>
      </c>
      <c r="R104" s="46">
        <f>SUM(C104:Q104)</f>
        <v/>
      </c>
    </row>
    <row r="105">
      <c r="A105" s="26" t="inlineStr">
        <is>
          <t>Total fixed costs</t>
        </is>
      </c>
      <c r="C105" s="47">
        <f>SUM(C99:C104)</f>
        <v/>
      </c>
      <c r="D105" s="47">
        <f>SUM(D99:D104)</f>
        <v/>
      </c>
      <c r="E105" s="47">
        <f>SUM(E99:E104)</f>
        <v/>
      </c>
      <c r="F105" s="47">
        <f>SUM(F99:F104)</f>
        <v/>
      </c>
      <c r="G105" s="47">
        <f>SUM(G99:G104)</f>
        <v/>
      </c>
      <c r="H105" s="47">
        <f>SUM(H99:H104)</f>
        <v/>
      </c>
      <c r="I105" s="47">
        <f>SUM(I99:I104)</f>
        <v/>
      </c>
      <c r="J105" s="47">
        <f>SUM(J99:J104)</f>
        <v/>
      </c>
      <c r="K105" s="47">
        <f>SUM(K99:K104)</f>
        <v/>
      </c>
      <c r="L105" s="47">
        <f>SUM(L99:L104)</f>
        <v/>
      </c>
      <c r="M105" s="47">
        <f>SUM(M99:M104)</f>
        <v/>
      </c>
      <c r="N105" s="47">
        <f>SUM(N99:N104)</f>
        <v/>
      </c>
      <c r="O105" s="47">
        <f>SUM(O99:O104)</f>
        <v/>
      </c>
      <c r="P105" s="47">
        <f>SUM(P99:P104)</f>
        <v/>
      </c>
      <c r="Q105" s="47">
        <f>SUM(Q99:Q104)</f>
        <v/>
      </c>
      <c r="R105" s="46">
        <f>SUM(C105:Q105)</f>
        <v/>
      </c>
    </row>
    <row r="107">
      <c r="A107" s="7" t="inlineStr">
        <is>
          <t>One-time launch costs (cash out)</t>
        </is>
      </c>
      <c r="B107" s="8" t="n"/>
      <c r="C107" s="8" t="n"/>
      <c r="D107" s="8" t="n"/>
      <c r="E107" s="8" t="n"/>
      <c r="F107" s="8" t="n"/>
      <c r="G107" s="8" t="n"/>
      <c r="H107" s="8" t="n"/>
      <c r="I107" s="8" t="n"/>
      <c r="J107" s="8" t="n"/>
      <c r="K107" s="8" t="n"/>
      <c r="L107" s="8" t="n"/>
      <c r="M107" s="8" t="n"/>
      <c r="N107" s="8" t="n"/>
      <c r="O107" s="8" t="n"/>
      <c r="P107" s="8" t="n"/>
      <c r="Q107" s="8" t="n"/>
      <c r="R107" s="8" t="n"/>
    </row>
    <row r="108">
      <c r="A108" s="10" t="inlineStr">
        <is>
          <t>Company, trademark, lawyer review, insurance setup</t>
        </is>
      </c>
      <c r="C108" s="45">
        <f>IF(EOMONTH(in_OtCompany_D,0)=EOMONTH(C$23,0),IF($B$3="Lean",in_OtCompany_L,in_OtCompany_S),0)</f>
        <v/>
      </c>
      <c r="D108" s="45">
        <f>IF(EOMONTH(in_OtCompany_D,0)=EOMONTH(D$23,0),IF($B$3="Lean",in_OtCompany_L,in_OtCompany_S),0)</f>
        <v/>
      </c>
      <c r="E108" s="45">
        <f>IF(EOMONTH(in_OtCompany_D,0)=EOMONTH(E$23,0),IF($B$3="Lean",in_OtCompany_L,in_OtCompany_S),0)</f>
        <v/>
      </c>
      <c r="F108" s="45">
        <f>IF(EOMONTH(in_OtCompany_D,0)=EOMONTH(F$23,0),IF($B$3="Lean",in_OtCompany_L,in_OtCompany_S),0)</f>
        <v/>
      </c>
      <c r="G108" s="45">
        <f>IF(EOMONTH(in_OtCompany_D,0)=EOMONTH(G$23,0),IF($B$3="Lean",in_OtCompany_L,in_OtCompany_S),0)</f>
        <v/>
      </c>
      <c r="H108" s="45">
        <f>IF(EOMONTH(in_OtCompany_D,0)=EOMONTH(H$23,0),IF($B$3="Lean",in_OtCompany_L,in_OtCompany_S),0)</f>
        <v/>
      </c>
      <c r="I108" s="45">
        <f>IF(EOMONTH(in_OtCompany_D,0)=EOMONTH(I$23,0),IF($B$3="Lean",in_OtCompany_L,in_OtCompany_S),0)</f>
        <v/>
      </c>
      <c r="J108" s="45">
        <f>IF(EOMONTH(in_OtCompany_D,0)=EOMONTH(J$23,0),IF($B$3="Lean",in_OtCompany_L,in_OtCompany_S),0)</f>
        <v/>
      </c>
      <c r="K108" s="45">
        <f>IF(EOMONTH(in_OtCompany_D,0)=EOMONTH(K$23,0),IF($B$3="Lean",in_OtCompany_L,in_OtCompany_S),0)</f>
        <v/>
      </c>
      <c r="L108" s="45">
        <f>IF(EOMONTH(in_OtCompany_D,0)=EOMONTH(L$23,0),IF($B$3="Lean",in_OtCompany_L,in_OtCompany_S),0)</f>
        <v/>
      </c>
      <c r="M108" s="45">
        <f>IF(EOMONTH(in_OtCompany_D,0)=EOMONTH(M$23,0),IF($B$3="Lean",in_OtCompany_L,in_OtCompany_S),0)</f>
        <v/>
      </c>
      <c r="N108" s="45">
        <f>IF(EOMONTH(in_OtCompany_D,0)=EOMONTH(N$23,0),IF($B$3="Lean",in_OtCompany_L,in_OtCompany_S),0)</f>
        <v/>
      </c>
      <c r="O108" s="45">
        <f>IF(EOMONTH(in_OtCompany_D,0)=EOMONTH(O$23,0),IF($B$3="Lean",in_OtCompany_L,in_OtCompany_S),0)</f>
        <v/>
      </c>
      <c r="P108" s="45">
        <f>IF(EOMONTH(in_OtCompany_D,0)=EOMONTH(P$23,0),IF($B$3="Lean",in_OtCompany_L,in_OtCompany_S),0)</f>
        <v/>
      </c>
      <c r="Q108" s="45">
        <f>IF(EOMONTH(in_OtCompany_D,0)=EOMONTH(Q$23,0),IF($B$3="Lean",in_OtCompany_L,in_OtCompany_S),0)</f>
        <v/>
      </c>
      <c r="R108" s="46">
        <f>SUM(C108:Q108)</f>
        <v/>
      </c>
    </row>
    <row r="109">
      <c r="A109" s="10" t="inlineStr">
        <is>
          <t>Samples and flavour development (Strawberry)</t>
        </is>
      </c>
      <c r="C109" s="45">
        <f>IF(EOMONTH(in_OtSamples_D,0)=EOMONTH(C$23,0),IF($B$3="Lean",in_OtSamples_L,in_OtSamples_S),0)</f>
        <v/>
      </c>
      <c r="D109" s="45">
        <f>IF(EOMONTH(in_OtSamples_D,0)=EOMONTH(D$23,0),IF($B$3="Lean",in_OtSamples_L,in_OtSamples_S),0)</f>
        <v/>
      </c>
      <c r="E109" s="45">
        <f>IF(EOMONTH(in_OtSamples_D,0)=EOMONTH(E$23,0),IF($B$3="Lean",in_OtSamples_L,in_OtSamples_S),0)</f>
        <v/>
      </c>
      <c r="F109" s="45">
        <f>IF(EOMONTH(in_OtSamples_D,0)=EOMONTH(F$23,0),IF($B$3="Lean",in_OtSamples_L,in_OtSamples_S),0)</f>
        <v/>
      </c>
      <c r="G109" s="45">
        <f>IF(EOMONTH(in_OtSamples_D,0)=EOMONTH(G$23,0),IF($B$3="Lean",in_OtSamples_L,in_OtSamples_S),0)</f>
        <v/>
      </c>
      <c r="H109" s="45">
        <f>IF(EOMONTH(in_OtSamples_D,0)=EOMONTH(H$23,0),IF($B$3="Lean",in_OtSamples_L,in_OtSamples_S),0)</f>
        <v/>
      </c>
      <c r="I109" s="45">
        <f>IF(EOMONTH(in_OtSamples_D,0)=EOMONTH(I$23,0),IF($B$3="Lean",in_OtSamples_L,in_OtSamples_S),0)</f>
        <v/>
      </c>
      <c r="J109" s="45">
        <f>IF(EOMONTH(in_OtSamples_D,0)=EOMONTH(J$23,0),IF($B$3="Lean",in_OtSamples_L,in_OtSamples_S),0)</f>
        <v/>
      </c>
      <c r="K109" s="45">
        <f>IF(EOMONTH(in_OtSamples_D,0)=EOMONTH(K$23,0),IF($B$3="Lean",in_OtSamples_L,in_OtSamples_S),0)</f>
        <v/>
      </c>
      <c r="L109" s="45">
        <f>IF(EOMONTH(in_OtSamples_D,0)=EOMONTH(L$23,0),IF($B$3="Lean",in_OtSamples_L,in_OtSamples_S),0)</f>
        <v/>
      </c>
      <c r="M109" s="45">
        <f>IF(EOMONTH(in_OtSamples_D,0)=EOMONTH(M$23,0),IF($B$3="Lean",in_OtSamples_L,in_OtSamples_S),0)</f>
        <v/>
      </c>
      <c r="N109" s="45">
        <f>IF(EOMONTH(in_OtSamples_D,0)=EOMONTH(N$23,0),IF($B$3="Lean",in_OtSamples_L,in_OtSamples_S),0)</f>
        <v/>
      </c>
      <c r="O109" s="45">
        <f>IF(EOMONTH(in_OtSamples_D,0)=EOMONTH(O$23,0),IF($B$3="Lean",in_OtSamples_L,in_OtSamples_S),0)</f>
        <v/>
      </c>
      <c r="P109" s="45">
        <f>IF(EOMONTH(in_OtSamples_D,0)=EOMONTH(P$23,0),IF($B$3="Lean",in_OtSamples_L,in_OtSamples_S),0)</f>
        <v/>
      </c>
      <c r="Q109" s="45">
        <f>IF(EOMONTH(in_OtSamples_D,0)=EOMONTH(Q$23,0),IF($B$3="Lean",in_OtSamples_L,in_OtSamples_S),0)</f>
        <v/>
      </c>
      <c r="R109" s="46">
        <f>SUM(C109:Q109)</f>
        <v/>
      </c>
    </row>
    <row r="110">
      <c r="A110" s="10" t="inlineStr">
        <is>
          <t>Label and regulatory review</t>
        </is>
      </c>
      <c r="C110" s="45">
        <f>IF(EOMONTH(in_OtLabel_D,0)=EOMONTH(C$23,0),IF($B$3="Lean",in_OtLabel_L,in_OtLabel_S),0)</f>
        <v/>
      </c>
      <c r="D110" s="45">
        <f>IF(EOMONTH(in_OtLabel_D,0)=EOMONTH(D$23,0),IF($B$3="Lean",in_OtLabel_L,in_OtLabel_S),0)</f>
        <v/>
      </c>
      <c r="E110" s="45">
        <f>IF(EOMONTH(in_OtLabel_D,0)=EOMONTH(E$23,0),IF($B$3="Lean",in_OtLabel_L,in_OtLabel_S),0)</f>
        <v/>
      </c>
      <c r="F110" s="45">
        <f>IF(EOMONTH(in_OtLabel_D,0)=EOMONTH(F$23,0),IF($B$3="Lean",in_OtLabel_L,in_OtLabel_S),0)</f>
        <v/>
      </c>
      <c r="G110" s="45">
        <f>IF(EOMONTH(in_OtLabel_D,0)=EOMONTH(G$23,0),IF($B$3="Lean",in_OtLabel_L,in_OtLabel_S),0)</f>
        <v/>
      </c>
      <c r="H110" s="45">
        <f>IF(EOMONTH(in_OtLabel_D,0)=EOMONTH(H$23,0),IF($B$3="Lean",in_OtLabel_L,in_OtLabel_S),0)</f>
        <v/>
      </c>
      <c r="I110" s="45">
        <f>IF(EOMONTH(in_OtLabel_D,0)=EOMONTH(I$23,0),IF($B$3="Lean",in_OtLabel_L,in_OtLabel_S),0)</f>
        <v/>
      </c>
      <c r="J110" s="45">
        <f>IF(EOMONTH(in_OtLabel_D,0)=EOMONTH(J$23,0),IF($B$3="Lean",in_OtLabel_L,in_OtLabel_S),0)</f>
        <v/>
      </c>
      <c r="K110" s="45">
        <f>IF(EOMONTH(in_OtLabel_D,0)=EOMONTH(K$23,0),IF($B$3="Lean",in_OtLabel_L,in_OtLabel_S),0)</f>
        <v/>
      </c>
      <c r="L110" s="45">
        <f>IF(EOMONTH(in_OtLabel_D,0)=EOMONTH(L$23,0),IF($B$3="Lean",in_OtLabel_L,in_OtLabel_S),0)</f>
        <v/>
      </c>
      <c r="M110" s="45">
        <f>IF(EOMONTH(in_OtLabel_D,0)=EOMONTH(M$23,0),IF($B$3="Lean",in_OtLabel_L,in_OtLabel_S),0)</f>
        <v/>
      </c>
      <c r="N110" s="45">
        <f>IF(EOMONTH(in_OtLabel_D,0)=EOMONTH(N$23,0),IF($B$3="Lean",in_OtLabel_L,in_OtLabel_S),0)</f>
        <v/>
      </c>
      <c r="O110" s="45">
        <f>IF(EOMONTH(in_OtLabel_D,0)=EOMONTH(O$23,0),IF($B$3="Lean",in_OtLabel_L,in_OtLabel_S),0)</f>
        <v/>
      </c>
      <c r="P110" s="45">
        <f>IF(EOMONTH(in_OtLabel_D,0)=EOMONTH(P$23,0),IF($B$3="Lean",in_OtLabel_L,in_OtLabel_S),0)</f>
        <v/>
      </c>
      <c r="Q110" s="45">
        <f>IF(EOMONTH(in_OtLabel_D,0)=EOMONTH(Q$23,0),IF($B$3="Lean",in_OtLabel_L,in_OtLabel_S),0)</f>
        <v/>
      </c>
      <c r="R110" s="46">
        <f>SUM(C110:Q110)</f>
        <v/>
      </c>
    </row>
    <row r="111">
      <c r="A111" s="10" t="inlineStr">
        <is>
          <t>Launch kit: shakers, display, sampling supplies, apps</t>
        </is>
      </c>
      <c r="C111" s="45">
        <f>IF(EOMONTH(in_OtKit_D,0)=EOMONTH(C$23,0),IF($B$3="Lean",in_OtKit_L,in_OtKit_S),0)</f>
        <v/>
      </c>
      <c r="D111" s="45">
        <f>IF(EOMONTH(in_OtKit_D,0)=EOMONTH(D$23,0),IF($B$3="Lean",in_OtKit_L,in_OtKit_S),0)</f>
        <v/>
      </c>
      <c r="E111" s="45">
        <f>IF(EOMONTH(in_OtKit_D,0)=EOMONTH(E$23,0),IF($B$3="Lean",in_OtKit_L,in_OtKit_S),0)</f>
        <v/>
      </c>
      <c r="F111" s="45">
        <f>IF(EOMONTH(in_OtKit_D,0)=EOMONTH(F$23,0),IF($B$3="Lean",in_OtKit_L,in_OtKit_S),0)</f>
        <v/>
      </c>
      <c r="G111" s="45">
        <f>IF(EOMONTH(in_OtKit_D,0)=EOMONTH(G$23,0),IF($B$3="Lean",in_OtKit_L,in_OtKit_S),0)</f>
        <v/>
      </c>
      <c r="H111" s="45">
        <f>IF(EOMONTH(in_OtKit_D,0)=EOMONTH(H$23,0),IF($B$3="Lean",in_OtKit_L,in_OtKit_S),0)</f>
        <v/>
      </c>
      <c r="I111" s="45">
        <f>IF(EOMONTH(in_OtKit_D,0)=EOMONTH(I$23,0),IF($B$3="Lean",in_OtKit_L,in_OtKit_S),0)</f>
        <v/>
      </c>
      <c r="J111" s="45">
        <f>IF(EOMONTH(in_OtKit_D,0)=EOMONTH(J$23,0),IF($B$3="Lean",in_OtKit_L,in_OtKit_S),0)</f>
        <v/>
      </c>
      <c r="K111" s="45">
        <f>IF(EOMONTH(in_OtKit_D,0)=EOMONTH(K$23,0),IF($B$3="Lean",in_OtKit_L,in_OtKit_S),0)</f>
        <v/>
      </c>
      <c r="L111" s="45">
        <f>IF(EOMONTH(in_OtKit_D,0)=EOMONTH(L$23,0),IF($B$3="Lean",in_OtKit_L,in_OtKit_S),0)</f>
        <v/>
      </c>
      <c r="M111" s="45">
        <f>IF(EOMONTH(in_OtKit_D,0)=EOMONTH(M$23,0),IF($B$3="Lean",in_OtKit_L,in_OtKit_S),0)</f>
        <v/>
      </c>
      <c r="N111" s="45">
        <f>IF(EOMONTH(in_OtKit_D,0)=EOMONTH(N$23,0),IF($B$3="Lean",in_OtKit_L,in_OtKit_S),0)</f>
        <v/>
      </c>
      <c r="O111" s="45">
        <f>IF(EOMONTH(in_OtKit_D,0)=EOMONTH(O$23,0),IF($B$3="Lean",in_OtKit_L,in_OtKit_S),0)</f>
        <v/>
      </c>
      <c r="P111" s="45">
        <f>IF(EOMONTH(in_OtKit_D,0)=EOMONTH(P$23,0),IF($B$3="Lean",in_OtKit_L,in_OtKit_S),0)</f>
        <v/>
      </c>
      <c r="Q111" s="45">
        <f>IF(EOMONTH(in_OtKit_D,0)=EOMONTH(Q$23,0),IF($B$3="Lean",in_OtKit_L,in_OtKit_S),0)</f>
        <v/>
      </c>
      <c r="R111" s="46">
        <f>SUM(C111:Q111)</f>
        <v/>
      </c>
    </row>
    <row r="112">
      <c r="A112" s="10" t="inlineStr">
        <is>
          <t>Real Fruit Hydration sticks (development and first run)</t>
        </is>
      </c>
      <c r="C112" s="45">
        <f>IF(EOMONTH(in_OtHydra_D,0)=EOMONTH(C$23,0),IF($B$3="Lean",in_OtHydra_L,in_OtHydra_S),0)*in_HydraOn</f>
        <v/>
      </c>
      <c r="D112" s="45">
        <f>IF(EOMONTH(in_OtHydra_D,0)=EOMONTH(D$23,0),IF($B$3="Lean",in_OtHydra_L,in_OtHydra_S),0)*in_HydraOn</f>
        <v/>
      </c>
      <c r="E112" s="45">
        <f>IF(EOMONTH(in_OtHydra_D,0)=EOMONTH(E$23,0),IF($B$3="Lean",in_OtHydra_L,in_OtHydra_S),0)*in_HydraOn</f>
        <v/>
      </c>
      <c r="F112" s="45">
        <f>IF(EOMONTH(in_OtHydra_D,0)=EOMONTH(F$23,0),IF($B$3="Lean",in_OtHydra_L,in_OtHydra_S),0)*in_HydraOn</f>
        <v/>
      </c>
      <c r="G112" s="45">
        <f>IF(EOMONTH(in_OtHydra_D,0)=EOMONTH(G$23,0),IF($B$3="Lean",in_OtHydra_L,in_OtHydra_S),0)*in_HydraOn</f>
        <v/>
      </c>
      <c r="H112" s="45">
        <f>IF(EOMONTH(in_OtHydra_D,0)=EOMONTH(H$23,0),IF($B$3="Lean",in_OtHydra_L,in_OtHydra_S),0)*in_HydraOn</f>
        <v/>
      </c>
      <c r="I112" s="45">
        <f>IF(EOMONTH(in_OtHydra_D,0)=EOMONTH(I$23,0),IF($B$3="Lean",in_OtHydra_L,in_OtHydra_S),0)*in_HydraOn</f>
        <v/>
      </c>
      <c r="J112" s="45">
        <f>IF(EOMONTH(in_OtHydra_D,0)=EOMONTH(J$23,0),IF($B$3="Lean",in_OtHydra_L,in_OtHydra_S),0)*in_HydraOn</f>
        <v/>
      </c>
      <c r="K112" s="45">
        <f>IF(EOMONTH(in_OtHydra_D,0)=EOMONTH(K$23,0),IF($B$3="Lean",in_OtHydra_L,in_OtHydra_S),0)*in_HydraOn</f>
        <v/>
      </c>
      <c r="L112" s="45">
        <f>IF(EOMONTH(in_OtHydra_D,0)=EOMONTH(L$23,0),IF($B$3="Lean",in_OtHydra_L,in_OtHydra_S),0)*in_HydraOn</f>
        <v/>
      </c>
      <c r="M112" s="45">
        <f>IF(EOMONTH(in_OtHydra_D,0)=EOMONTH(M$23,0),IF($B$3="Lean",in_OtHydra_L,in_OtHydra_S),0)*in_HydraOn</f>
        <v/>
      </c>
      <c r="N112" s="45">
        <f>IF(EOMONTH(in_OtHydra_D,0)=EOMONTH(N$23,0),IF($B$3="Lean",in_OtHydra_L,in_OtHydra_S),0)*in_HydraOn</f>
        <v/>
      </c>
      <c r="O112" s="45">
        <f>IF(EOMONTH(in_OtHydra_D,0)=EOMONTH(O$23,0),IF($B$3="Lean",in_OtHydra_L,in_OtHydra_S),0)*in_HydraOn</f>
        <v/>
      </c>
      <c r="P112" s="45">
        <f>IF(EOMONTH(in_OtHydra_D,0)=EOMONTH(P$23,0),IF($B$3="Lean",in_OtHydra_L,in_OtHydra_S),0)*in_HydraOn</f>
        <v/>
      </c>
      <c r="Q112" s="45">
        <f>IF(EOMONTH(in_OtHydra_D,0)=EOMONTH(Q$23,0),IF($B$3="Lean",in_OtHydra_L,in_OtHydra_S),0)*in_HydraOn</f>
        <v/>
      </c>
      <c r="R112" s="46">
        <f>SUM(C112:Q112)</f>
        <v/>
      </c>
    </row>
    <row r="113">
      <c r="A113" s="10" t="inlineStr">
        <is>
          <t>Second protein flavour: samples and development</t>
        </is>
      </c>
      <c r="C113" s="45">
        <f>IF(EOMONTH(in_OtFlavor2_D,0)=EOMONTH(C$23,0),IF($B$3="Lean",in_OtFlavor2_L,in_OtFlavor2_S),0)*in_Flavor2On</f>
        <v/>
      </c>
      <c r="D113" s="45">
        <f>IF(EOMONTH(in_OtFlavor2_D,0)=EOMONTH(D$23,0),IF($B$3="Lean",in_OtFlavor2_L,in_OtFlavor2_S),0)*in_Flavor2On</f>
        <v/>
      </c>
      <c r="E113" s="45">
        <f>IF(EOMONTH(in_OtFlavor2_D,0)=EOMONTH(E$23,0),IF($B$3="Lean",in_OtFlavor2_L,in_OtFlavor2_S),0)*in_Flavor2On</f>
        <v/>
      </c>
      <c r="F113" s="45">
        <f>IF(EOMONTH(in_OtFlavor2_D,0)=EOMONTH(F$23,0),IF($B$3="Lean",in_OtFlavor2_L,in_OtFlavor2_S),0)*in_Flavor2On</f>
        <v/>
      </c>
      <c r="G113" s="45">
        <f>IF(EOMONTH(in_OtFlavor2_D,0)=EOMONTH(G$23,0),IF($B$3="Lean",in_OtFlavor2_L,in_OtFlavor2_S),0)*in_Flavor2On</f>
        <v/>
      </c>
      <c r="H113" s="45">
        <f>IF(EOMONTH(in_OtFlavor2_D,0)=EOMONTH(H$23,0),IF($B$3="Lean",in_OtFlavor2_L,in_OtFlavor2_S),0)*in_Flavor2On</f>
        <v/>
      </c>
      <c r="I113" s="45">
        <f>IF(EOMONTH(in_OtFlavor2_D,0)=EOMONTH(I$23,0),IF($B$3="Lean",in_OtFlavor2_L,in_OtFlavor2_S),0)*in_Flavor2On</f>
        <v/>
      </c>
      <c r="J113" s="45">
        <f>IF(EOMONTH(in_OtFlavor2_D,0)=EOMONTH(J$23,0),IF($B$3="Lean",in_OtFlavor2_L,in_OtFlavor2_S),0)*in_Flavor2On</f>
        <v/>
      </c>
      <c r="K113" s="45">
        <f>IF(EOMONTH(in_OtFlavor2_D,0)=EOMONTH(K$23,0),IF($B$3="Lean",in_OtFlavor2_L,in_OtFlavor2_S),0)*in_Flavor2On</f>
        <v/>
      </c>
      <c r="L113" s="45">
        <f>IF(EOMONTH(in_OtFlavor2_D,0)=EOMONTH(L$23,0),IF($B$3="Lean",in_OtFlavor2_L,in_OtFlavor2_S),0)*in_Flavor2On</f>
        <v/>
      </c>
      <c r="M113" s="45">
        <f>IF(EOMONTH(in_OtFlavor2_D,0)=EOMONTH(M$23,0),IF($B$3="Lean",in_OtFlavor2_L,in_OtFlavor2_S),0)*in_Flavor2On</f>
        <v/>
      </c>
      <c r="N113" s="45">
        <f>IF(EOMONTH(in_OtFlavor2_D,0)=EOMONTH(N$23,0),IF($B$3="Lean",in_OtFlavor2_L,in_OtFlavor2_S),0)*in_Flavor2On</f>
        <v/>
      </c>
      <c r="O113" s="45">
        <f>IF(EOMONTH(in_OtFlavor2_D,0)=EOMONTH(O$23,0),IF($B$3="Lean",in_OtFlavor2_L,in_OtFlavor2_S),0)*in_Flavor2On</f>
        <v/>
      </c>
      <c r="P113" s="45">
        <f>IF(EOMONTH(in_OtFlavor2_D,0)=EOMONTH(P$23,0),IF($B$3="Lean",in_OtFlavor2_L,in_OtFlavor2_S),0)*in_Flavor2On</f>
        <v/>
      </c>
      <c r="Q113" s="45">
        <f>IF(EOMONTH(in_OtFlavor2_D,0)=EOMONTH(Q$23,0),IF($B$3="Lean",in_OtFlavor2_L,in_OtFlavor2_S),0)*in_Flavor2On</f>
        <v/>
      </c>
      <c r="R113" s="46">
        <f>SUM(C113:Q113)</f>
        <v/>
      </c>
    </row>
    <row r="114">
      <c r="A114" s="10" t="inlineStr">
        <is>
          <t>Optional: Picked Creatine via Supliful</t>
        </is>
      </c>
      <c r="C114" s="45">
        <f>IF(EOMONTH(in_OtCreatine_D,0)=EOMONTH(C$23,0),IF($B$3="Lean",in_OtCreatine_L,in_OtCreatine_S),0)</f>
        <v/>
      </c>
      <c r="D114" s="45">
        <f>IF(EOMONTH(in_OtCreatine_D,0)=EOMONTH(D$23,0),IF($B$3="Lean",in_OtCreatine_L,in_OtCreatine_S),0)</f>
        <v/>
      </c>
      <c r="E114" s="45">
        <f>IF(EOMONTH(in_OtCreatine_D,0)=EOMONTH(E$23,0),IF($B$3="Lean",in_OtCreatine_L,in_OtCreatine_S),0)</f>
        <v/>
      </c>
      <c r="F114" s="45">
        <f>IF(EOMONTH(in_OtCreatine_D,0)=EOMONTH(F$23,0),IF($B$3="Lean",in_OtCreatine_L,in_OtCreatine_S),0)</f>
        <v/>
      </c>
      <c r="G114" s="45">
        <f>IF(EOMONTH(in_OtCreatine_D,0)=EOMONTH(G$23,0),IF($B$3="Lean",in_OtCreatine_L,in_OtCreatine_S),0)</f>
        <v/>
      </c>
      <c r="H114" s="45">
        <f>IF(EOMONTH(in_OtCreatine_D,0)=EOMONTH(H$23,0),IF($B$3="Lean",in_OtCreatine_L,in_OtCreatine_S),0)</f>
        <v/>
      </c>
      <c r="I114" s="45">
        <f>IF(EOMONTH(in_OtCreatine_D,0)=EOMONTH(I$23,0),IF($B$3="Lean",in_OtCreatine_L,in_OtCreatine_S),0)</f>
        <v/>
      </c>
      <c r="J114" s="45">
        <f>IF(EOMONTH(in_OtCreatine_D,0)=EOMONTH(J$23,0),IF($B$3="Lean",in_OtCreatine_L,in_OtCreatine_S),0)</f>
        <v/>
      </c>
      <c r="K114" s="45">
        <f>IF(EOMONTH(in_OtCreatine_D,0)=EOMONTH(K$23,0),IF($B$3="Lean",in_OtCreatine_L,in_OtCreatine_S),0)</f>
        <v/>
      </c>
      <c r="L114" s="45">
        <f>IF(EOMONTH(in_OtCreatine_D,0)=EOMONTH(L$23,0),IF($B$3="Lean",in_OtCreatine_L,in_OtCreatine_S),0)</f>
        <v/>
      </c>
      <c r="M114" s="45">
        <f>IF(EOMONTH(in_OtCreatine_D,0)=EOMONTH(M$23,0),IF($B$3="Lean",in_OtCreatine_L,in_OtCreatine_S),0)</f>
        <v/>
      </c>
      <c r="N114" s="45">
        <f>IF(EOMONTH(in_OtCreatine_D,0)=EOMONTH(N$23,0),IF($B$3="Lean",in_OtCreatine_L,in_OtCreatine_S),0)</f>
        <v/>
      </c>
      <c r="O114" s="45">
        <f>IF(EOMONTH(in_OtCreatine_D,0)=EOMONTH(O$23,0),IF($B$3="Lean",in_OtCreatine_L,in_OtCreatine_S),0)</f>
        <v/>
      </c>
      <c r="P114" s="45">
        <f>IF(EOMONTH(in_OtCreatine_D,0)=EOMONTH(P$23,0),IF($B$3="Lean",in_OtCreatine_L,in_OtCreatine_S),0)</f>
        <v/>
      </c>
      <c r="Q114" s="45">
        <f>IF(EOMONTH(in_OtCreatine_D,0)=EOMONTH(Q$23,0),IF($B$3="Lean",in_OtCreatine_L,in_OtCreatine_S),0)</f>
        <v/>
      </c>
      <c r="R114" s="46">
        <f>SUM(C114:Q114)</f>
        <v/>
      </c>
    </row>
    <row r="115">
      <c r="A115" s="26" t="inlineStr">
        <is>
          <t>Total one-time launch costs</t>
        </is>
      </c>
      <c r="C115" s="47">
        <f>SUM(C108:C114)</f>
        <v/>
      </c>
      <c r="D115" s="47">
        <f>SUM(D108:D114)</f>
        <v/>
      </c>
      <c r="E115" s="47">
        <f>SUM(E108:E114)</f>
        <v/>
      </c>
      <c r="F115" s="47">
        <f>SUM(F108:F114)</f>
        <v/>
      </c>
      <c r="G115" s="47">
        <f>SUM(G108:G114)</f>
        <v/>
      </c>
      <c r="H115" s="47">
        <f>SUM(H108:H114)</f>
        <v/>
      </c>
      <c r="I115" s="47">
        <f>SUM(I108:I114)</f>
        <v/>
      </c>
      <c r="J115" s="47">
        <f>SUM(J108:J114)</f>
        <v/>
      </c>
      <c r="K115" s="47">
        <f>SUM(K108:K114)</f>
        <v/>
      </c>
      <c r="L115" s="47">
        <f>SUM(L108:L114)</f>
        <v/>
      </c>
      <c r="M115" s="47">
        <f>SUM(M108:M114)</f>
        <v/>
      </c>
      <c r="N115" s="47">
        <f>SUM(N108:N114)</f>
        <v/>
      </c>
      <c r="O115" s="47">
        <f>SUM(O108:O114)</f>
        <v/>
      </c>
      <c r="P115" s="47">
        <f>SUM(P108:P114)</f>
        <v/>
      </c>
      <c r="Q115" s="47">
        <f>SUM(Q108:Q114)</f>
        <v/>
      </c>
      <c r="R115" s="46">
        <f>SUM(C115:Q115)</f>
        <v/>
      </c>
    </row>
    <row r="117">
      <c r="A117" s="7" t="inlineStr">
        <is>
          <t>Cash position</t>
        </is>
      </c>
      <c r="B117" s="8" t="n"/>
      <c r="C117" s="8" t="n"/>
      <c r="D117" s="8" t="n"/>
      <c r="E117" s="8" t="n"/>
      <c r="F117" s="8" t="n"/>
      <c r="G117" s="8" t="n"/>
      <c r="H117" s="8" t="n"/>
      <c r="I117" s="8" t="n"/>
      <c r="J117" s="8" t="n"/>
      <c r="K117" s="8" t="n"/>
      <c r="L117" s="8" t="n"/>
      <c r="M117" s="8" t="n"/>
      <c r="N117" s="8" t="n"/>
      <c r="O117" s="8" t="n"/>
      <c r="P117" s="8" t="n"/>
      <c r="Q117" s="8" t="n"/>
      <c r="R117" s="8" t="n"/>
    </row>
    <row r="118">
      <c r="A118" s="26" t="inlineStr">
        <is>
          <t>Net cash flow</t>
        </is>
      </c>
      <c r="C118" s="47">
        <f>C77-C84-C91-C96-C105-C115</f>
        <v/>
      </c>
      <c r="D118" s="47">
        <f>D77-D84-D91-D96-D105-D115</f>
        <v/>
      </c>
      <c r="E118" s="47">
        <f>E77-E84-E91-E96-E105-E115</f>
        <v/>
      </c>
      <c r="F118" s="47">
        <f>F77-F84-F91-F96-F105-F115</f>
        <v/>
      </c>
      <c r="G118" s="47">
        <f>G77-G84-G91-G96-G105-G115</f>
        <v/>
      </c>
      <c r="H118" s="47">
        <f>H77-H84-H91-H96-H105-H115</f>
        <v/>
      </c>
      <c r="I118" s="47">
        <f>I77-I84-I91-I96-I105-I115</f>
        <v/>
      </c>
      <c r="J118" s="47">
        <f>J77-J84-J91-J96-J105-J115</f>
        <v/>
      </c>
      <c r="K118" s="47">
        <f>K77-K84-K91-K96-K105-K115</f>
        <v/>
      </c>
      <c r="L118" s="47">
        <f>L77-L84-L91-L96-L105-L115</f>
        <v/>
      </c>
      <c r="M118" s="47">
        <f>M77-M84-M91-M96-M105-M115</f>
        <v/>
      </c>
      <c r="N118" s="47">
        <f>N77-N84-N91-N96-N105-N115</f>
        <v/>
      </c>
      <c r="O118" s="47">
        <f>O77-O84-O91-O96-O105-O115</f>
        <v/>
      </c>
      <c r="P118" s="47">
        <f>P77-P84-P91-P96-P105-P115</f>
        <v/>
      </c>
      <c r="Q118" s="47">
        <f>Q77-Q84-Q91-Q96-Q105-Q115</f>
        <v/>
      </c>
      <c r="R118" s="46">
        <f>SUM(C118:Q118)</f>
        <v/>
      </c>
    </row>
    <row r="119">
      <c r="A119" s="10" t="inlineStr">
        <is>
          <t>Cumulative net cash flow</t>
        </is>
      </c>
      <c r="C119" s="45">
        <f>C118</f>
        <v/>
      </c>
      <c r="D119" s="45">
        <f>C119+D118</f>
        <v/>
      </c>
      <c r="E119" s="45">
        <f>D119+E118</f>
        <v/>
      </c>
      <c r="F119" s="45">
        <f>E119+F118</f>
        <v/>
      </c>
      <c r="G119" s="45">
        <f>F119+G118</f>
        <v/>
      </c>
      <c r="H119" s="45">
        <f>G119+H118</f>
        <v/>
      </c>
      <c r="I119" s="45">
        <f>H119+I118</f>
        <v/>
      </c>
      <c r="J119" s="45">
        <f>I119+J118</f>
        <v/>
      </c>
      <c r="K119" s="45">
        <f>J119+K118</f>
        <v/>
      </c>
      <c r="L119" s="45">
        <f>K119+L118</f>
        <v/>
      </c>
      <c r="M119" s="45">
        <f>L119+M118</f>
        <v/>
      </c>
      <c r="N119" s="45">
        <f>M119+N118</f>
        <v/>
      </c>
      <c r="O119" s="45">
        <f>N119+O118</f>
        <v/>
      </c>
      <c r="P119" s="45">
        <f>O119+P118</f>
        <v/>
      </c>
      <c r="Q119" s="45">
        <f>P119+Q118</f>
        <v/>
      </c>
    </row>
    <row r="120">
      <c r="A120" s="26" t="inlineStr">
        <is>
          <t>Cash balance (starting cash + cumulative)</t>
        </is>
      </c>
      <c r="C120" s="47">
        <f>in_StartCash+C119</f>
        <v/>
      </c>
      <c r="D120" s="47">
        <f>in_StartCash+D119</f>
        <v/>
      </c>
      <c r="E120" s="47">
        <f>in_StartCash+E119</f>
        <v/>
      </c>
      <c r="F120" s="47">
        <f>in_StartCash+F119</f>
        <v/>
      </c>
      <c r="G120" s="47">
        <f>in_StartCash+G119</f>
        <v/>
      </c>
      <c r="H120" s="47">
        <f>in_StartCash+H119</f>
        <v/>
      </c>
      <c r="I120" s="47">
        <f>in_StartCash+I119</f>
        <v/>
      </c>
      <c r="J120" s="47">
        <f>in_StartCash+J119</f>
        <v/>
      </c>
      <c r="K120" s="47">
        <f>in_StartCash+K119</f>
        <v/>
      </c>
      <c r="L120" s="47">
        <f>in_StartCash+L119</f>
        <v/>
      </c>
      <c r="M120" s="47">
        <f>in_StartCash+M119</f>
        <v/>
      </c>
      <c r="N120" s="47">
        <f>in_StartCash+N119</f>
        <v/>
      </c>
      <c r="O120" s="47">
        <f>in_StartCash+O119</f>
        <v/>
      </c>
      <c r="P120" s="47">
        <f>in_StartCash+P119</f>
        <v/>
      </c>
      <c r="Q120" s="47">
        <f>in_StartCash+Q119</f>
        <v/>
      </c>
    </row>
    <row r="121">
      <c r="A121" s="10" t="inlineStr">
        <is>
          <t>Lowest cash month</t>
        </is>
      </c>
      <c r="B121" s="6" t="inlineStr">
        <is>
          <t>Flags the low point</t>
        </is>
      </c>
      <c r="C121" s="10">
        <f>IF(C120=MIN($C$120:$Q$120),"LOWEST","")</f>
        <v/>
      </c>
      <c r="D121" s="10">
        <f>IF(D120=MIN($C$120:$Q$120),"LOWEST","")</f>
        <v/>
      </c>
      <c r="E121" s="10">
        <f>IF(E120=MIN($C$120:$Q$120),"LOWEST","")</f>
        <v/>
      </c>
      <c r="F121" s="10">
        <f>IF(F120=MIN($C$120:$Q$120),"LOWEST","")</f>
        <v/>
      </c>
      <c r="G121" s="10">
        <f>IF(G120=MIN($C$120:$Q$120),"LOWEST","")</f>
        <v/>
      </c>
      <c r="H121" s="10">
        <f>IF(H120=MIN($C$120:$Q$120),"LOWEST","")</f>
        <v/>
      </c>
      <c r="I121" s="10">
        <f>IF(I120=MIN($C$120:$Q$120),"LOWEST","")</f>
        <v/>
      </c>
      <c r="J121" s="10">
        <f>IF(J120=MIN($C$120:$Q$120),"LOWEST","")</f>
        <v/>
      </c>
      <c r="K121" s="10">
        <f>IF(K120=MIN($C$120:$Q$120),"LOWEST","")</f>
        <v/>
      </c>
      <c r="L121" s="10">
        <f>IF(L120=MIN($C$120:$Q$120),"LOWEST","")</f>
        <v/>
      </c>
      <c r="M121" s="10">
        <f>IF(M120=MIN($C$120:$Q$120),"LOWEST","")</f>
        <v/>
      </c>
      <c r="N121" s="10">
        <f>IF(N120=MIN($C$120:$Q$120),"LOWEST","")</f>
        <v/>
      </c>
      <c r="O121" s="10">
        <f>IF(O120=MIN($C$120:$Q$120),"LOWEST","")</f>
        <v/>
      </c>
      <c r="P121" s="10">
        <f>IF(P120=MIN($C$120:$Q$120),"LOWEST","")</f>
        <v/>
      </c>
      <c r="Q121" s="10">
        <f>IF(Q120=MIN($C$120:$Q$120),"LOWEST","")</f>
        <v/>
      </c>
    </row>
    <row r="123">
      <c r="A123" s="7" t="inlineStr">
        <is>
          <t>Operating view (accrual memo: COGS on units sold, launch costs excluded)</t>
        </is>
      </c>
      <c r="B123" s="8" t="n"/>
      <c r="C123" s="8" t="n"/>
      <c r="D123" s="8" t="n"/>
      <c r="E123" s="8" t="n"/>
      <c r="F123" s="8" t="n"/>
      <c r="G123" s="8" t="n"/>
      <c r="H123" s="8" t="n"/>
      <c r="I123" s="8" t="n"/>
      <c r="J123" s="8" t="n"/>
      <c r="K123" s="8" t="n"/>
      <c r="L123" s="8" t="n"/>
      <c r="M123" s="8" t="n"/>
      <c r="N123" s="8" t="n"/>
      <c r="O123" s="8" t="n"/>
      <c r="P123" s="8" t="n"/>
      <c r="Q123" s="8" t="n"/>
      <c r="R123" s="8" t="n"/>
    </row>
    <row r="124">
      <c r="A124" s="10" t="inlineStr">
        <is>
          <t>Revenue (DTC + wholesale invoiced)</t>
        </is>
      </c>
      <c r="C124" s="45">
        <f>C74+C75</f>
        <v/>
      </c>
      <c r="D124" s="45">
        <f>D74+D75</f>
        <v/>
      </c>
      <c r="E124" s="45">
        <f>E74+E75</f>
        <v/>
      </c>
      <c r="F124" s="45">
        <f>F74+F75</f>
        <v/>
      </c>
      <c r="G124" s="45">
        <f>G74+G75</f>
        <v/>
      </c>
      <c r="H124" s="45">
        <f>H74+H75</f>
        <v/>
      </c>
      <c r="I124" s="45">
        <f>I74+I75</f>
        <v/>
      </c>
      <c r="J124" s="45">
        <f>J74+J75</f>
        <v/>
      </c>
      <c r="K124" s="45">
        <f>K74+K75</f>
        <v/>
      </c>
      <c r="L124" s="45">
        <f>L74+L75</f>
        <v/>
      </c>
      <c r="M124" s="45">
        <f>M74+M75</f>
        <v/>
      </c>
      <c r="N124" s="45">
        <f>N74+N75</f>
        <v/>
      </c>
      <c r="O124" s="45">
        <f>O74+O75</f>
        <v/>
      </c>
      <c r="P124" s="45">
        <f>P74+P75</f>
        <v/>
      </c>
      <c r="Q124" s="45">
        <f>Q74+Q75</f>
        <v/>
      </c>
      <c r="R124" s="46">
        <f>SUM(C124:Q124)</f>
        <v/>
      </c>
    </row>
    <row r="125">
      <c r="A125" s="10" t="inlineStr">
        <is>
          <t>COGS on units sold</t>
        </is>
      </c>
      <c r="C125" s="45">
        <f>C53*$B$6+C64*$B$7</f>
        <v/>
      </c>
      <c r="D125" s="45">
        <f>D53*$B$6+D64*$B$7</f>
        <v/>
      </c>
      <c r="E125" s="45">
        <f>E53*$B$6+E64*$B$7</f>
        <v/>
      </c>
      <c r="F125" s="45">
        <f>F53*$B$6+F64*$B$7</f>
        <v/>
      </c>
      <c r="G125" s="45">
        <f>G53*$B$6+G64*$B$7</f>
        <v/>
      </c>
      <c r="H125" s="45">
        <f>H53*$B$6+H64*$B$7</f>
        <v/>
      </c>
      <c r="I125" s="45">
        <f>I53*$B$6+I64*$B$7</f>
        <v/>
      </c>
      <c r="J125" s="45">
        <f>J53*$B$6+J64*$B$7</f>
        <v/>
      </c>
      <c r="K125" s="45">
        <f>K53*$B$6+K64*$B$7</f>
        <v/>
      </c>
      <c r="L125" s="45">
        <f>L53*$B$6+L64*$B$7</f>
        <v/>
      </c>
      <c r="M125" s="45">
        <f>M53*$B$6+M64*$B$7</f>
        <v/>
      </c>
      <c r="N125" s="45">
        <f>N53*$B$6+N64*$B$7</f>
        <v/>
      </c>
      <c r="O125" s="45">
        <f>O53*$B$6+O64*$B$7</f>
        <v/>
      </c>
      <c r="P125" s="45">
        <f>P53*$B$6+P64*$B$7</f>
        <v/>
      </c>
      <c r="Q125" s="45">
        <f>Q53*$B$6+Q64*$B$7</f>
        <v/>
      </c>
      <c r="R125" s="46">
        <f>SUM(C125:Q125)</f>
        <v/>
      </c>
    </row>
    <row r="126">
      <c r="A126" s="26" t="inlineStr">
        <is>
          <t>Operating profit (revenue - COGS - variable - marketing - fixed)</t>
        </is>
      </c>
      <c r="C126" s="47">
        <f>C124-C125-C91-C96-C105</f>
        <v/>
      </c>
      <c r="D126" s="47">
        <f>D124-D125-D91-D96-D105</f>
        <v/>
      </c>
      <c r="E126" s="47">
        <f>E124-E125-E91-E96-E105</f>
        <v/>
      </c>
      <c r="F126" s="47">
        <f>F124-F125-F91-F96-F105</f>
        <v/>
      </c>
      <c r="G126" s="47">
        <f>G124-G125-G91-G96-G105</f>
        <v/>
      </c>
      <c r="H126" s="47">
        <f>H124-H125-H91-H96-H105</f>
        <v/>
      </c>
      <c r="I126" s="47">
        <f>I124-I125-I91-I96-I105</f>
        <v/>
      </c>
      <c r="J126" s="47">
        <f>J124-J125-J91-J96-J105</f>
        <v/>
      </c>
      <c r="K126" s="47">
        <f>K124-K125-K91-K96-K105</f>
        <v/>
      </c>
      <c r="L126" s="47">
        <f>L124-L125-L91-L96-L105</f>
        <v/>
      </c>
      <c r="M126" s="47">
        <f>M124-M125-M91-M96-M105</f>
        <v/>
      </c>
      <c r="N126" s="47">
        <f>N124-N125-N91-N96-N105</f>
        <v/>
      </c>
      <c r="O126" s="47">
        <f>O124-O125-O91-O96-O105</f>
        <v/>
      </c>
      <c r="P126" s="47">
        <f>P124-P125-P91-P96-P105</f>
        <v/>
      </c>
      <c r="Q126" s="47">
        <f>Q124-Q125-Q91-Q96-Q105</f>
        <v/>
      </c>
      <c r="R126" s="46">
        <f>SUM(C126:Q126)</f>
        <v/>
      </c>
    </row>
    <row r="127">
      <c r="A127" s="10" t="inlineStr">
        <is>
          <t>Operating break-even flag (1 = profit &gt;= 0 while selling)</t>
        </is>
      </c>
      <c r="C127" s="39">
        <f>IF(AND(C24=1,C126&gt;=0),1,0)</f>
        <v/>
      </c>
      <c r="D127" s="39">
        <f>IF(AND(D24=1,D126&gt;=0),1,0)</f>
        <v/>
      </c>
      <c r="E127" s="39">
        <f>IF(AND(E24=1,E126&gt;=0),1,0)</f>
        <v/>
      </c>
      <c r="F127" s="39">
        <f>IF(AND(F24=1,F126&gt;=0),1,0)</f>
        <v/>
      </c>
      <c r="G127" s="39">
        <f>IF(AND(G24=1,G126&gt;=0),1,0)</f>
        <v/>
      </c>
      <c r="H127" s="39">
        <f>IF(AND(H24=1,H126&gt;=0),1,0)</f>
        <v/>
      </c>
      <c r="I127" s="39">
        <f>IF(AND(I24=1,I126&gt;=0),1,0)</f>
        <v/>
      </c>
      <c r="J127" s="39">
        <f>IF(AND(J24=1,J126&gt;=0),1,0)</f>
        <v/>
      </c>
      <c r="K127" s="39">
        <f>IF(AND(K24=1,K126&gt;=0),1,0)</f>
        <v/>
      </c>
      <c r="L127" s="39">
        <f>IF(AND(L24=1,L126&gt;=0),1,0)</f>
        <v/>
      </c>
      <c r="M127" s="39">
        <f>IF(AND(M24=1,M126&gt;=0),1,0)</f>
        <v/>
      </c>
      <c r="N127" s="39">
        <f>IF(AND(N24=1,N126&gt;=0),1,0)</f>
        <v/>
      </c>
      <c r="O127" s="39">
        <f>IF(AND(O24=1,O126&gt;=0),1,0)</f>
        <v/>
      </c>
      <c r="P127" s="39">
        <f>IF(AND(P24=1,P126&gt;=0),1,0)</f>
        <v/>
      </c>
      <c r="Q127" s="39">
        <f>IF(AND(Q24=1,Q126&gt;=0),1,0)</f>
        <v/>
      </c>
    </row>
    <row r="128">
      <c r="A128" s="10" t="inlineStr">
        <is>
          <t>Cash payback flag (1 = cumulative net cash &gt;= 0 while selling)</t>
        </is>
      </c>
      <c r="C128" s="39">
        <f>IF(AND(C24=1,C119&gt;=0),1,0)</f>
        <v/>
      </c>
      <c r="D128" s="39">
        <f>IF(AND(D24=1,D119&gt;=0),1,0)</f>
        <v/>
      </c>
      <c r="E128" s="39">
        <f>IF(AND(E24=1,E119&gt;=0),1,0)</f>
        <v/>
      </c>
      <c r="F128" s="39">
        <f>IF(AND(F24=1,F119&gt;=0),1,0)</f>
        <v/>
      </c>
      <c r="G128" s="39">
        <f>IF(AND(G24=1,G119&gt;=0),1,0)</f>
        <v/>
      </c>
      <c r="H128" s="39">
        <f>IF(AND(H24=1,H119&gt;=0),1,0)</f>
        <v/>
      </c>
      <c r="I128" s="39">
        <f>IF(AND(I24=1,I119&gt;=0),1,0)</f>
        <v/>
      </c>
      <c r="J128" s="39">
        <f>IF(AND(J24=1,J119&gt;=0),1,0)</f>
        <v/>
      </c>
      <c r="K128" s="39">
        <f>IF(AND(K24=1,K119&gt;=0),1,0)</f>
        <v/>
      </c>
      <c r="L128" s="39">
        <f>IF(AND(L24=1,L119&gt;=0),1,0)</f>
        <v/>
      </c>
      <c r="M128" s="39">
        <f>IF(AND(M24=1,M119&gt;=0),1,0)</f>
        <v/>
      </c>
      <c r="N128" s="39">
        <f>IF(AND(N24=1,N119&gt;=0),1,0)</f>
        <v/>
      </c>
      <c r="O128" s="39">
        <f>IF(AND(O24=1,O119&gt;=0),1,0)</f>
        <v/>
      </c>
      <c r="P128" s="39">
        <f>IF(AND(P24=1,P119&gt;=0),1,0)</f>
        <v/>
      </c>
      <c r="Q128" s="39">
        <f>IF(AND(Q24=1,Q119&gt;=0),1,0)</f>
        <v/>
      </c>
    </row>
    <row r="129">
      <c r="A129" s="10" t="inlineStr">
        <is>
          <t>Closing inventory at cost</t>
        </is>
      </c>
      <c r="C129" s="45">
        <f>C55*$B$6+C66*$B$7</f>
        <v/>
      </c>
      <c r="D129" s="45">
        <f>D55*$B$6+D66*$B$7</f>
        <v/>
      </c>
      <c r="E129" s="45">
        <f>E55*$B$6+E66*$B$7</f>
        <v/>
      </c>
      <c r="F129" s="45">
        <f>F55*$B$6+F66*$B$7</f>
        <v/>
      </c>
      <c r="G129" s="45">
        <f>G55*$B$6+G66*$B$7</f>
        <v/>
      </c>
      <c r="H129" s="45">
        <f>H55*$B$6+H66*$B$7</f>
        <v/>
      </c>
      <c r="I129" s="45">
        <f>I55*$B$6+I66*$B$7</f>
        <v/>
      </c>
      <c r="J129" s="45">
        <f>J55*$B$6+J66*$B$7</f>
        <v/>
      </c>
      <c r="K129" s="45">
        <f>K55*$B$6+K66*$B$7</f>
        <v/>
      </c>
      <c r="L129" s="45">
        <f>L55*$B$6+L66*$B$7</f>
        <v/>
      </c>
      <c r="M129" s="45">
        <f>M55*$B$6+M66*$B$7</f>
        <v/>
      </c>
      <c r="N129" s="45">
        <f>N55*$B$6+N66*$B$7</f>
        <v/>
      </c>
      <c r="O129" s="45">
        <f>O55*$B$6+O66*$B$7</f>
        <v/>
      </c>
      <c r="P129" s="45">
        <f>P55*$B$6+P66*$B$7</f>
        <v/>
      </c>
      <c r="Q129" s="45">
        <f>Q55*$B$6+Q66*$B$7</f>
        <v/>
      </c>
    </row>
  </sheetData>
  <conditionalFormatting sqref="C120:Q120">
    <cfRule type="expression" priority="1" dxfId="0">
      <formula>C120=MIN($C$120:$Q$120)</formula>
    </cfRule>
  </conditionalFormatting>
  <conditionalFormatting sqref="C121:Q121">
    <cfRule type="expression" priority="2" dxfId="0">
      <formula>C121="LOWEST"</formula>
    </cfRule>
  </conditionalFormatting>
  <conditionalFormatting sqref="C118:Q118">
    <cfRule type="expression" priority="3" dxfId="1">
      <formula>C118&lt;0</formula>
    </cfRule>
  </conditionalFormatting>
  <conditionalFormatting sqref="C54:Q54">
    <cfRule type="expression" priority="4" dxfId="2">
      <formula>C54&gt;0</formula>
    </cfRule>
  </conditionalFormatting>
  <conditionalFormatting sqref="C65:Q65">
    <cfRule type="expression" priority="5" dxfId="2">
      <formula>C65&gt;0</formula>
    </cfRule>
  </conditionalFormatting>
  <pageMargins left="0.75" right="0.75" top="1" bottom="1" header="0.5" footer="0.5"/>
</worksheet>
</file>

<file path=xl/worksheets/sheet5.xml><?xml version="1.0" encoding="utf-8"?>
<worksheet xmlns="http://schemas.openxmlformats.org/spreadsheetml/2006/main">
  <sheetPr>
    <tabColor rgb="00F0505E"/>
    <outlinePr summaryBelow="1" summaryRight="1"/>
    <pageSetUpPr/>
  </sheetPr>
  <dimension ref="A1:H21"/>
  <sheetViews>
    <sheetView tabSelected="0" workbookViewId="0">
      <pane ySplit="5" topLeftCell="A6" activePane="bottomLeft" state="frozen"/>
      <selection pane="bottomLeft" activeCell="A1" sqref="A1"/>
    </sheetView>
  </sheetViews>
  <sheetFormatPr baseColWidth="8" defaultRowHeight="15"/>
  <cols>
    <col width="30" customWidth="1" min="1" max="1"/>
    <col width="12" customWidth="1" min="2" max="2"/>
    <col width="16" customWidth="1" min="3" max="3"/>
    <col width="16" customWidth="1" min="4" max="4"/>
    <col width="16" customWidth="1" min="5" max="5"/>
    <col width="14" customWidth="1" min="6" max="6"/>
    <col width="20" customWidth="1" min="7" max="7"/>
    <col width="20" customWidth="1" min="8" max="8"/>
  </cols>
  <sheetData>
    <row r="1">
      <c r="A1" s="5" t="inlineStr">
        <is>
          <t>Picked: scenarios</t>
        </is>
      </c>
    </row>
    <row r="2" ht="32" customHeight="1">
      <c r="A2" s="2" t="inlineStr">
        <is>
          <t>Change the run-size toggle and the multipliers on Inputs. Each case runs its own full copy of the monthly model (hidden sheets calc_*), so all cases show at once. Cash balance = starting cash + cumulative net cash flow.</t>
        </is>
      </c>
    </row>
    <row r="3">
      <c r="A3" s="26" t="inlineStr">
        <is>
          <t>Active run-size mode</t>
        </is>
      </c>
      <c r="B3" s="26">
        <f>in_Mode</f>
        <v/>
      </c>
    </row>
    <row r="4">
      <c r="A4" s="26" t="inlineStr">
        <is>
          <t>Starting cash</t>
        </is>
      </c>
      <c r="B4" s="48">
        <f>in_StartCash</f>
        <v/>
      </c>
    </row>
    <row r="6">
      <c r="A6" s="7" t="inlineStr">
        <is>
          <t>A. Demand cases under the active run-size mode</t>
        </is>
      </c>
      <c r="B6" s="8" t="n"/>
      <c r="C6" s="8" t="n"/>
      <c r="D6" s="8" t="n"/>
      <c r="E6" s="8" t="n"/>
      <c r="F6" s="8" t="n"/>
      <c r="G6" s="8" t="n"/>
      <c r="H6" s="8" t="n"/>
    </row>
    <row r="7">
      <c r="A7" s="9" t="inlineStr">
        <is>
          <t>Demand case</t>
        </is>
      </c>
      <c r="B7" s="9" t="inlineStr">
        <is>
          <t>Multiplier</t>
        </is>
      </c>
      <c r="C7" s="9" t="inlineStr">
        <is>
          <t>Cash balance end Jun 2027</t>
        </is>
      </c>
      <c r="D7" s="9" t="inlineStr">
        <is>
          <t>Cash balance end Dec 2027</t>
        </is>
      </c>
      <c r="E7" s="9" t="inlineStr">
        <is>
          <t>Lowest cash balance</t>
        </is>
      </c>
      <c r="F7" s="9" t="inlineStr">
        <is>
          <t>Lowest month</t>
        </is>
      </c>
      <c r="G7" s="9" t="inlineStr">
        <is>
          <t>Operating break-even month</t>
        </is>
      </c>
      <c r="H7" s="9" t="inlineStr">
        <is>
          <t>Cash payback month</t>
        </is>
      </c>
    </row>
    <row r="8">
      <c r="A8" s="26" t="inlineStr">
        <is>
          <t>Low</t>
        </is>
      </c>
      <c r="B8" s="49">
        <f>in_MultLow</f>
        <v/>
      </c>
      <c r="C8" s="50">
        <f>IF(in_Mode="Lean",'calc_Lean_Low'!$B$18,'calc_Standard_Low'!$B$18)</f>
        <v/>
      </c>
      <c r="D8" s="50">
        <f>IF(in_Mode="Lean",'calc_Lean_Low'!$B$19,'calc_Standard_Low'!$B$19)</f>
        <v/>
      </c>
      <c r="E8" s="50">
        <f>IF(in_Mode="Lean",'calc_Lean_Low'!$B$13,'calc_Standard_Low'!$B$13)</f>
        <v/>
      </c>
      <c r="F8" s="51">
        <f>IF(in_Mode="Lean",'calc_Lean_Low'!$B$14,'calc_Standard_Low'!$B$14)</f>
        <v/>
      </c>
      <c r="G8" s="51">
        <f>IF(in_Mode="Lean",'calc_Lean_Low'!$B$16,'calc_Standard_Low'!$B$16)</f>
        <v/>
      </c>
      <c r="H8" s="51">
        <f>IF(in_Mode="Lean",'calc_Lean_Low'!$B$17,'calc_Standard_Low'!$B$17)</f>
        <v/>
      </c>
    </row>
    <row r="9">
      <c r="A9" s="26" t="inlineStr">
        <is>
          <t>Base</t>
        </is>
      </c>
      <c r="B9" s="49">
        <f>in_MultBase</f>
        <v/>
      </c>
      <c r="C9" s="50">
        <f>IF(in_Mode="Lean",'calc_Lean_Base'!$B$18,'calc_Standard_Base'!$B$18)</f>
        <v/>
      </c>
      <c r="D9" s="50">
        <f>IF(in_Mode="Lean",'calc_Lean_Base'!$B$19,'calc_Standard_Base'!$B$19)</f>
        <v/>
      </c>
      <c r="E9" s="50">
        <f>IF(in_Mode="Lean",'calc_Lean_Base'!$B$13,'calc_Standard_Base'!$B$13)</f>
        <v/>
      </c>
      <c r="F9" s="51">
        <f>IF(in_Mode="Lean",'calc_Lean_Base'!$B$14,'calc_Standard_Base'!$B$14)</f>
        <v/>
      </c>
      <c r="G9" s="51">
        <f>IF(in_Mode="Lean",'calc_Lean_Base'!$B$16,'calc_Standard_Base'!$B$16)</f>
        <v/>
      </c>
      <c r="H9" s="51">
        <f>IF(in_Mode="Lean",'calc_Lean_Base'!$B$17,'calc_Standard_Base'!$B$17)</f>
        <v/>
      </c>
    </row>
    <row r="10">
      <c r="A10" s="26" t="inlineStr">
        <is>
          <t>High</t>
        </is>
      </c>
      <c r="B10" s="49">
        <f>in_MultHigh</f>
        <v/>
      </c>
      <c r="C10" s="50">
        <f>IF(in_Mode="Lean",'calc_Lean_High'!$B$18,'calc_Standard_High'!$B$18)</f>
        <v/>
      </c>
      <c r="D10" s="50">
        <f>IF(in_Mode="Lean",'calc_Lean_High'!$B$19,'calc_Standard_High'!$B$19)</f>
        <v/>
      </c>
      <c r="E10" s="50">
        <f>IF(in_Mode="Lean",'calc_Lean_High'!$B$13,'calc_Standard_High'!$B$13)</f>
        <v/>
      </c>
      <c r="F10" s="51">
        <f>IF(in_Mode="Lean",'calc_Lean_High'!$B$14,'calc_Standard_High'!$B$14)</f>
        <v/>
      </c>
      <c r="G10" s="51">
        <f>IF(in_Mode="Lean",'calc_Lean_High'!$B$16,'calc_Standard_High'!$B$16)</f>
        <v/>
      </c>
      <c r="H10" s="51">
        <f>IF(in_Mode="Lean",'calc_Lean_High'!$B$17,'calc_Standard_High'!$B$17)</f>
        <v/>
      </c>
    </row>
    <row r="12">
      <c r="A12" s="7" t="inlineStr">
        <is>
          <t>B. Lean (144-unit runs) vs Standard (1,000-unit runs), every demand case</t>
        </is>
      </c>
      <c r="B12" s="8" t="n"/>
      <c r="C12" s="8" t="n"/>
      <c r="D12" s="8" t="n"/>
      <c r="E12" s="8" t="n"/>
      <c r="F12" s="8" t="n"/>
      <c r="G12" s="8" t="n"/>
      <c r="H12" s="8" t="n"/>
    </row>
    <row r="13">
      <c r="A13" s="9" t="inlineStr">
        <is>
          <t>Demand case</t>
        </is>
      </c>
      <c r="B13" s="9" t="inlineStr">
        <is>
          <t>Run size</t>
        </is>
      </c>
      <c r="C13" s="9" t="inlineStr">
        <is>
          <t>Cash balance end Jun 2027</t>
        </is>
      </c>
      <c r="D13" s="9" t="inlineStr">
        <is>
          <t>Cash balance end Dec 2027</t>
        </is>
      </c>
      <c r="E13" s="9" t="inlineStr">
        <is>
          <t>Lowest cash balance</t>
        </is>
      </c>
      <c r="F13" s="9" t="inlineStr">
        <is>
          <t>Lowest month</t>
        </is>
      </c>
      <c r="G13" s="9" t="inlineStr">
        <is>
          <t>Operating break-even month</t>
        </is>
      </c>
      <c r="H13" s="9" t="inlineStr">
        <is>
          <t>Peak funding need</t>
        </is>
      </c>
    </row>
    <row r="14">
      <c r="A14" t="inlineStr">
        <is>
          <t>Low</t>
        </is>
      </c>
      <c r="B14" t="inlineStr">
        <is>
          <t>Lean</t>
        </is>
      </c>
      <c r="C14" s="50">
        <f>'calc_Lean_Low'!$B$18</f>
        <v/>
      </c>
      <c r="D14" s="50">
        <f>'calc_Lean_Low'!$B$19</f>
        <v/>
      </c>
      <c r="E14" s="50">
        <f>'calc_Lean_Low'!$B$13</f>
        <v/>
      </c>
      <c r="F14" s="51">
        <f>'calc_Lean_Low'!$B$14</f>
        <v/>
      </c>
      <c r="G14" s="51">
        <f>'calc_Lean_Low'!$B$16</f>
        <v/>
      </c>
      <c r="H14" s="50">
        <f>'calc_Lean_Low'!$B$15</f>
        <v/>
      </c>
    </row>
    <row r="15">
      <c r="A15" t="inlineStr">
        <is>
          <t>Low</t>
        </is>
      </c>
      <c r="B15" t="inlineStr">
        <is>
          <t>Standard</t>
        </is>
      </c>
      <c r="C15" s="50">
        <f>'calc_Standard_Low'!$B$18</f>
        <v/>
      </c>
      <c r="D15" s="50">
        <f>'calc_Standard_Low'!$B$19</f>
        <v/>
      </c>
      <c r="E15" s="50">
        <f>'calc_Standard_Low'!$B$13</f>
        <v/>
      </c>
      <c r="F15" s="51">
        <f>'calc_Standard_Low'!$B$14</f>
        <v/>
      </c>
      <c r="G15" s="51">
        <f>'calc_Standard_Low'!$B$16</f>
        <v/>
      </c>
      <c r="H15" s="50">
        <f>'calc_Standard_Low'!$B$15</f>
        <v/>
      </c>
    </row>
    <row r="16">
      <c r="A16" t="inlineStr">
        <is>
          <t>Base</t>
        </is>
      </c>
      <c r="B16" t="inlineStr">
        <is>
          <t>Lean</t>
        </is>
      </c>
      <c r="C16" s="50">
        <f>'calc_Lean_Base'!$B$18</f>
        <v/>
      </c>
      <c r="D16" s="50">
        <f>'calc_Lean_Base'!$B$19</f>
        <v/>
      </c>
      <c r="E16" s="50">
        <f>'calc_Lean_Base'!$B$13</f>
        <v/>
      </c>
      <c r="F16" s="51">
        <f>'calc_Lean_Base'!$B$14</f>
        <v/>
      </c>
      <c r="G16" s="51">
        <f>'calc_Lean_Base'!$B$16</f>
        <v/>
      </c>
      <c r="H16" s="50">
        <f>'calc_Lean_Base'!$B$15</f>
        <v/>
      </c>
    </row>
    <row r="17">
      <c r="A17" t="inlineStr">
        <is>
          <t>Base</t>
        </is>
      </c>
      <c r="B17" t="inlineStr">
        <is>
          <t>Standard</t>
        </is>
      </c>
      <c r="C17" s="50">
        <f>'calc_Standard_Base'!$B$18</f>
        <v/>
      </c>
      <c r="D17" s="50">
        <f>'calc_Standard_Base'!$B$19</f>
        <v/>
      </c>
      <c r="E17" s="50">
        <f>'calc_Standard_Base'!$B$13</f>
        <v/>
      </c>
      <c r="F17" s="51">
        <f>'calc_Standard_Base'!$B$14</f>
        <v/>
      </c>
      <c r="G17" s="51">
        <f>'calc_Standard_Base'!$B$16</f>
        <v/>
      </c>
      <c r="H17" s="50">
        <f>'calc_Standard_Base'!$B$15</f>
        <v/>
      </c>
    </row>
    <row r="18">
      <c r="A18" t="inlineStr">
        <is>
          <t>High</t>
        </is>
      </c>
      <c r="B18" t="inlineStr">
        <is>
          <t>Lean</t>
        </is>
      </c>
      <c r="C18" s="50">
        <f>'calc_Lean_High'!$B$18</f>
        <v/>
      </c>
      <c r="D18" s="50">
        <f>'calc_Lean_High'!$B$19</f>
        <v/>
      </c>
      <c r="E18" s="50">
        <f>'calc_Lean_High'!$B$13</f>
        <v/>
      </c>
      <c r="F18" s="51">
        <f>'calc_Lean_High'!$B$14</f>
        <v/>
      </c>
      <c r="G18" s="51">
        <f>'calc_Lean_High'!$B$16</f>
        <v/>
      </c>
      <c r="H18" s="50">
        <f>'calc_Lean_High'!$B$15</f>
        <v/>
      </c>
    </row>
    <row r="19">
      <c r="A19" t="inlineStr">
        <is>
          <t>High</t>
        </is>
      </c>
      <c r="B19" t="inlineStr">
        <is>
          <t>Standard</t>
        </is>
      </c>
      <c r="C19" s="50">
        <f>'calc_Standard_High'!$B$18</f>
        <v/>
      </c>
      <c r="D19" s="50">
        <f>'calc_Standard_High'!$B$19</f>
        <v/>
      </c>
      <c r="E19" s="50">
        <f>'calc_Standard_High'!$B$13</f>
        <v/>
      </c>
      <c r="F19" s="51">
        <f>'calc_Standard_High'!$B$14</f>
        <v/>
      </c>
      <c r="G19" s="51">
        <f>'calc_Standard_High'!$B$16</f>
        <v/>
      </c>
      <c r="H19" s="50">
        <f>'calc_Standard_High'!$B$15</f>
        <v/>
      </c>
    </row>
    <row r="21" ht="48" customHeight="1">
      <c r="A21" s="2" t="inlineStr">
        <is>
          <t>Operating break-even = first month operating profit (revenue - COGS on units sold - variable - marketing - fixed) is zero or better; launch costs and inventory build are excluded. Cash payback = first month cumulative net cash flow returns to zero. Peak funding need = the most cash out before money comes back.</t>
        </is>
      </c>
    </row>
  </sheetData>
  <mergeCells count="2">
    <mergeCell ref="A21:H21"/>
    <mergeCell ref="A2:H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29"/>
  <sheetViews>
    <sheetView tabSelected="0" workbookViewId="0">
      <pane xSplit="2" ySplit="23" topLeftCell="C24" activePane="bottomRight" state="frozen"/>
      <selection pane="topRight"/>
      <selection pane="bottomLeft"/>
      <selection pane="bottomRight" activeCell="A1" sqref="A1"/>
    </sheetView>
  </sheetViews>
  <sheetFormatPr baseColWidth="8" defaultRowHeight="15"/>
  <cols>
    <col width="58" customWidth="1" min="1" max="1"/>
    <col width="16"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3" customWidth="1" min="18" max="18"/>
  </cols>
  <sheetData>
    <row r="1">
      <c r="A1" s="5" t="inlineStr">
        <is>
          <t>Calculation copy: Lean runs, Low demand (feeds Scenarios; do not edit)</t>
        </is>
      </c>
    </row>
    <row r="2">
      <c r="A2" s="6" t="inlineStr">
        <is>
          <t>Months Oct 2026 to Dec 2027. All figures are projections from the Inputs sheet, not actual results. Cash view: inventory is a cash outflow when bought; COGS appears only in the operating view at the bottom.</t>
        </is>
      </c>
    </row>
    <row r="3">
      <c r="A3" s="10" t="inlineStr">
        <is>
          <t>Run-size mode</t>
        </is>
      </c>
      <c r="B3" s="30">
        <f>"Lean"</f>
        <v/>
      </c>
    </row>
    <row r="4">
      <c r="A4" s="10" t="inlineStr">
        <is>
          <t>Demand multiplier</t>
        </is>
      </c>
      <c r="B4" s="31">
        <f>in_MultLow</f>
        <v/>
      </c>
    </row>
    <row r="5">
      <c r="A5" s="10" t="inlineStr">
        <is>
          <t>Demand case</t>
        </is>
      </c>
      <c r="B5" s="30">
        <f>"Low"</f>
        <v/>
      </c>
    </row>
    <row r="6">
      <c r="A6" s="10" t="inlineStr">
        <is>
          <t>Pouch cost of goods (by mode)</t>
        </is>
      </c>
      <c r="B6" s="32">
        <f>IF($B$3="Lean",in_CogsLean,in_CogsStd)</f>
        <v/>
      </c>
    </row>
    <row r="7">
      <c r="A7" s="10" t="inlineStr">
        <is>
          <t>Stick cost of goods (by mode)</t>
        </is>
      </c>
      <c r="B7" s="32">
        <f>IF($B$3="Lean",in_StickCogsLean,in_StickCogsStd)</f>
        <v/>
      </c>
    </row>
    <row r="8">
      <c r="A8" s="10" t="inlineStr">
        <is>
          <t>Pouch run size (by mode)</t>
        </is>
      </c>
      <c r="B8" s="33">
        <f>IF($B$3="Lean",in_RunLean,in_RunStd)</f>
        <v/>
      </c>
    </row>
    <row r="9">
      <c r="A9" s="10" t="inlineStr">
        <is>
          <t>Stick run size (by mode)</t>
        </is>
      </c>
      <c r="B9" s="33">
        <f>IF($B$3="Lean",in_StickRunLean,in_StickRunStd)</f>
        <v/>
      </c>
    </row>
    <row r="10">
      <c r="A10" s="10" t="inlineStr">
        <is>
          <t>Sample credit on first order (by mode)</t>
        </is>
      </c>
      <c r="B10" s="34">
        <f>IF($B$3="Lean",in_SampleCreditLean,in_SampleCreditStd)</f>
        <v/>
      </c>
    </row>
    <row r="12">
      <c r="A12" s="7" t="inlineStr">
        <is>
          <t>Summary for this sheet's mode and case</t>
        </is>
      </c>
      <c r="B12" s="8" t="n"/>
    </row>
    <row r="13">
      <c r="A13" s="10" t="inlineStr">
        <is>
          <t>Lowest cash balance</t>
        </is>
      </c>
      <c r="B13" s="35">
        <f>MIN($C$120:$Q$120)</f>
        <v/>
      </c>
    </row>
    <row r="14">
      <c r="A14" s="10" t="inlineStr">
        <is>
          <t>Month of lowest cash balance</t>
        </is>
      </c>
      <c r="B14" s="36">
        <f>INDEX($C$23:$Q$23,MATCH(MIN($C$120:$Q$120),$C$120:$Q$120,0))</f>
        <v/>
      </c>
    </row>
    <row r="15">
      <c r="A15" s="10" t="inlineStr">
        <is>
          <t>Peak funding need (lowest cumulative net cash flow)</t>
        </is>
      </c>
      <c r="B15" s="35">
        <f>MIN(0,MIN($C$119:$Q$119))</f>
        <v/>
      </c>
    </row>
    <row r="16">
      <c r="A16" s="10" t="inlineStr">
        <is>
          <t>Operating break-even month (first month operating profit &gt;= 0)</t>
        </is>
      </c>
      <c r="B16" s="36">
        <f>IFERROR(INDEX($C$23:$Q$23,MATCH(1,$C$127:$Q$127,0)),"Not by Dec 2027")</f>
        <v/>
      </c>
    </row>
    <row r="17">
      <c r="A17" s="10" t="inlineStr">
        <is>
          <t>Cash payback month (cumulative net cash flow back to &gt;= 0)</t>
        </is>
      </c>
      <c r="B17" s="36">
        <f>IFERROR(INDEX($C$23:$Q$23,MATCH(1,$C$128:$Q$128,0)),"Not by Dec 2027")</f>
        <v/>
      </c>
    </row>
    <row r="18">
      <c r="A18" s="10" t="inlineStr">
        <is>
          <t>Cash balance, end of Jun 2027</t>
        </is>
      </c>
      <c r="B18" s="35">
        <f>IFERROR(INDEX($C$120:$Q$120,MATCH(DATE(2027,6,1),$C$23:$Q$23,0)),"n/a")</f>
        <v/>
      </c>
    </row>
    <row r="19">
      <c r="A19" s="10" t="inlineStr">
        <is>
          <t>Cash balance, end of Dec 2027</t>
        </is>
      </c>
      <c r="B19" s="35">
        <f>IFERROR(INDEX($C$120:$Q$120,MATCH(DATE(2027,12,1),$C$23:$Q$23,0)),"n/a")</f>
        <v/>
      </c>
    </row>
    <row r="20">
      <c r="A20" s="10" t="inlineStr">
        <is>
          <t>Stockout check (pouch + stick units short; should be 0)</t>
        </is>
      </c>
      <c r="B20" s="37">
        <f>SUM($C$54:$Q$54)+SUM($C$65:$Q$65)</f>
        <v/>
      </c>
    </row>
    <row r="21">
      <c r="A21" s="10" t="inlineStr">
        <is>
          <t>Operating profit, Oct 2026 to Dec 2027 (launch costs excluded)</t>
        </is>
      </c>
      <c r="B21" s="35">
        <f>SUM($C$126:$Q$126)</f>
        <v/>
      </c>
    </row>
    <row r="23">
      <c r="A23" s="9" t="inlineStr">
        <is>
          <t>Line</t>
        </is>
      </c>
      <c r="B23" s="9" t="inlineStr">
        <is>
          <t>Note</t>
        </is>
      </c>
      <c r="C23" s="38">
        <f>DATE(YEAR(in_ModelStart),MONTH(in_ModelStart),1)</f>
        <v/>
      </c>
      <c r="D23" s="38">
        <f>EDATE(C23,1)</f>
        <v/>
      </c>
      <c r="E23" s="38">
        <f>EDATE(D23,1)</f>
        <v/>
      </c>
      <c r="F23" s="38">
        <f>EDATE(E23,1)</f>
        <v/>
      </c>
      <c r="G23" s="38">
        <f>EDATE(F23,1)</f>
        <v/>
      </c>
      <c r="H23" s="38">
        <f>EDATE(G23,1)</f>
        <v/>
      </c>
      <c r="I23" s="38">
        <f>EDATE(H23,1)</f>
        <v/>
      </c>
      <c r="J23" s="38">
        <f>EDATE(I23,1)</f>
        <v/>
      </c>
      <c r="K23" s="38">
        <f>EDATE(J23,1)</f>
        <v/>
      </c>
      <c r="L23" s="38">
        <f>EDATE(K23,1)</f>
        <v/>
      </c>
      <c r="M23" s="38">
        <f>EDATE(L23,1)</f>
        <v/>
      </c>
      <c r="N23" s="38">
        <f>EDATE(M23,1)</f>
        <v/>
      </c>
      <c r="O23" s="38">
        <f>EDATE(N23,1)</f>
        <v/>
      </c>
      <c r="P23" s="38">
        <f>EDATE(O23,1)</f>
        <v/>
      </c>
      <c r="Q23" s="38">
        <f>EDATE(P23,1)</f>
        <v/>
      </c>
      <c r="R23" s="9" t="inlineStr">
        <is>
          <t>Total</t>
        </is>
      </c>
    </row>
    <row r="24">
      <c r="A24" s="10" t="inlineStr">
        <is>
          <t>Selling? (1 from the first ship month)</t>
        </is>
      </c>
      <c r="C24" s="39">
        <f>IF(C$23&gt;=DATE(YEAR(in_FirstShip),MONTH(in_FirstShip),1),1,0)</f>
        <v/>
      </c>
      <c r="D24" s="39">
        <f>IF(D$23&gt;=DATE(YEAR(in_FirstShip),MONTH(in_FirstShip),1),1,0)</f>
        <v/>
      </c>
      <c r="E24" s="39">
        <f>IF(E$23&gt;=DATE(YEAR(in_FirstShip),MONTH(in_FirstShip),1),1,0)</f>
        <v/>
      </c>
      <c r="F24" s="39">
        <f>IF(F$23&gt;=DATE(YEAR(in_FirstShip),MONTH(in_FirstShip),1),1,0)</f>
        <v/>
      </c>
      <c r="G24" s="39">
        <f>IF(G$23&gt;=DATE(YEAR(in_FirstShip),MONTH(in_FirstShip),1),1,0)</f>
        <v/>
      </c>
      <c r="H24" s="39">
        <f>IF(H$23&gt;=DATE(YEAR(in_FirstShip),MONTH(in_FirstShip),1),1,0)</f>
        <v/>
      </c>
      <c r="I24" s="39">
        <f>IF(I$23&gt;=DATE(YEAR(in_FirstShip),MONTH(in_FirstShip),1),1,0)</f>
        <v/>
      </c>
      <c r="J24" s="39">
        <f>IF(J$23&gt;=DATE(YEAR(in_FirstShip),MONTH(in_FirstShip),1),1,0)</f>
        <v/>
      </c>
      <c r="K24" s="39">
        <f>IF(K$23&gt;=DATE(YEAR(in_FirstShip),MONTH(in_FirstShip),1),1,0)</f>
        <v/>
      </c>
      <c r="L24" s="39">
        <f>IF(L$23&gt;=DATE(YEAR(in_FirstShip),MONTH(in_FirstShip),1),1,0)</f>
        <v/>
      </c>
      <c r="M24" s="39">
        <f>IF(M$23&gt;=DATE(YEAR(in_FirstShip),MONTH(in_FirstShip),1),1,0)</f>
        <v/>
      </c>
      <c r="N24" s="39">
        <f>IF(N$23&gt;=DATE(YEAR(in_FirstShip),MONTH(in_FirstShip),1),1,0)</f>
        <v/>
      </c>
      <c r="O24" s="39">
        <f>IF(O$23&gt;=DATE(YEAR(in_FirstShip),MONTH(in_FirstShip),1),1,0)</f>
        <v/>
      </c>
      <c r="P24" s="39">
        <f>IF(P$23&gt;=DATE(YEAR(in_FirstShip),MONTH(in_FirstShip),1),1,0)</f>
        <v/>
      </c>
      <c r="Q24" s="39">
        <f>IF(Q$23&gt;=DATE(YEAR(in_FirstShip),MONTH(in_FirstShip),1),1,0)</f>
        <v/>
      </c>
    </row>
    <row r="26">
      <c r="A26" s="7" t="inlineStr">
        <is>
          <t>DTC customers and orders</t>
        </is>
      </c>
      <c r="B26" s="8" t="n"/>
      <c r="C26" s="8" t="n"/>
      <c r="D26" s="8" t="n"/>
      <c r="E26" s="8" t="n"/>
      <c r="F26" s="8" t="n"/>
      <c r="G26" s="8" t="n"/>
      <c r="H26" s="8" t="n"/>
      <c r="I26" s="8" t="n"/>
      <c r="J26" s="8" t="n"/>
      <c r="K26" s="8" t="n"/>
      <c r="L26" s="8" t="n"/>
      <c r="M26" s="8" t="n"/>
      <c r="N26" s="8" t="n"/>
      <c r="O26" s="8" t="n"/>
      <c r="P26" s="8" t="n"/>
      <c r="Q26" s="8" t="n"/>
      <c r="R26" s="8" t="n"/>
    </row>
    <row r="27">
      <c r="A27" s="10" t="inlineStr">
        <is>
          <t>Waitlist first orders (first ship month only)</t>
        </is>
      </c>
      <c r="B27" s="6" t="inlineStr">
        <is>
          <t>Waitlist x conversion</t>
        </is>
      </c>
      <c r="C27" s="40">
        <f>IF(EOMONTH(in_FirstShip,0)=EOMONTH(C$23,0),in_WaitSize*in_WaitConv*$B$4,0)</f>
        <v/>
      </c>
      <c r="D27" s="40">
        <f>IF(EOMONTH(in_FirstShip,0)=EOMONTH(D$23,0),in_WaitSize*in_WaitConv*$B$4,0)</f>
        <v/>
      </c>
      <c r="E27" s="40">
        <f>IF(EOMONTH(in_FirstShip,0)=EOMONTH(E$23,0),in_WaitSize*in_WaitConv*$B$4,0)</f>
        <v/>
      </c>
      <c r="F27" s="40">
        <f>IF(EOMONTH(in_FirstShip,0)=EOMONTH(F$23,0),in_WaitSize*in_WaitConv*$B$4,0)</f>
        <v/>
      </c>
      <c r="G27" s="40">
        <f>IF(EOMONTH(in_FirstShip,0)=EOMONTH(G$23,0),in_WaitSize*in_WaitConv*$B$4,0)</f>
        <v/>
      </c>
      <c r="H27" s="40">
        <f>IF(EOMONTH(in_FirstShip,0)=EOMONTH(H$23,0),in_WaitSize*in_WaitConv*$B$4,0)</f>
        <v/>
      </c>
      <c r="I27" s="40">
        <f>IF(EOMONTH(in_FirstShip,0)=EOMONTH(I$23,0),in_WaitSize*in_WaitConv*$B$4,0)</f>
        <v/>
      </c>
      <c r="J27" s="40">
        <f>IF(EOMONTH(in_FirstShip,0)=EOMONTH(J$23,0),in_WaitSize*in_WaitConv*$B$4,0)</f>
        <v/>
      </c>
      <c r="K27" s="40">
        <f>IF(EOMONTH(in_FirstShip,0)=EOMONTH(K$23,0),in_WaitSize*in_WaitConv*$B$4,0)</f>
        <v/>
      </c>
      <c r="L27" s="40">
        <f>IF(EOMONTH(in_FirstShip,0)=EOMONTH(L$23,0),in_WaitSize*in_WaitConv*$B$4,0)</f>
        <v/>
      </c>
      <c r="M27" s="40">
        <f>IF(EOMONTH(in_FirstShip,0)=EOMONTH(M$23,0),in_WaitSize*in_WaitConv*$B$4,0)</f>
        <v/>
      </c>
      <c r="N27" s="40">
        <f>IF(EOMONTH(in_FirstShip,0)=EOMONTH(N$23,0),in_WaitSize*in_WaitConv*$B$4,0)</f>
        <v/>
      </c>
      <c r="O27" s="40">
        <f>IF(EOMONTH(in_FirstShip,0)=EOMONTH(O$23,0),in_WaitSize*in_WaitConv*$B$4,0)</f>
        <v/>
      </c>
      <c r="P27" s="40">
        <f>IF(EOMONTH(in_FirstShip,0)=EOMONTH(P$23,0),in_WaitSize*in_WaitConv*$B$4,0)</f>
        <v/>
      </c>
      <c r="Q27" s="40">
        <f>IF(EOMONTH(in_FirstShip,0)=EOMONTH(Q$23,0),in_WaitSize*in_WaitConv*$B$4,0)</f>
        <v/>
      </c>
      <c r="R27" s="41">
        <f>SUM(C27:Q27)</f>
        <v/>
      </c>
    </row>
    <row r="28">
      <c r="A28" s="10" t="inlineStr">
        <is>
          <t>Organic new customers</t>
        </is>
      </c>
      <c r="C28" s="40">
        <f>IFERROR(INDEX(Inputs!$B$98:$B$107,MATCH(C$23,Inputs!$A$98:$A$107,0)),0)*$B$4*C24</f>
        <v/>
      </c>
      <c r="D28" s="40">
        <f>IFERROR(INDEX(Inputs!$B$98:$B$107,MATCH(D$23,Inputs!$A$98:$A$107,0)),0)*$B$4*D24</f>
        <v/>
      </c>
      <c r="E28" s="40">
        <f>IFERROR(INDEX(Inputs!$B$98:$B$107,MATCH(E$23,Inputs!$A$98:$A$107,0)),0)*$B$4*E24</f>
        <v/>
      </c>
      <c r="F28" s="40">
        <f>IFERROR(INDEX(Inputs!$B$98:$B$107,MATCH(F$23,Inputs!$A$98:$A$107,0)),0)*$B$4*F24</f>
        <v/>
      </c>
      <c r="G28" s="40">
        <f>IFERROR(INDEX(Inputs!$B$98:$B$107,MATCH(G$23,Inputs!$A$98:$A$107,0)),0)*$B$4*G24</f>
        <v/>
      </c>
      <c r="H28" s="40">
        <f>IFERROR(INDEX(Inputs!$B$98:$B$107,MATCH(H$23,Inputs!$A$98:$A$107,0)),0)*$B$4*H24</f>
        <v/>
      </c>
      <c r="I28" s="40">
        <f>IFERROR(INDEX(Inputs!$B$98:$B$107,MATCH(I$23,Inputs!$A$98:$A$107,0)),0)*$B$4*I24</f>
        <v/>
      </c>
      <c r="J28" s="40">
        <f>IFERROR(INDEX(Inputs!$B$98:$B$107,MATCH(J$23,Inputs!$A$98:$A$107,0)),0)*$B$4*J24</f>
        <v/>
      </c>
      <c r="K28" s="40">
        <f>IFERROR(INDEX(Inputs!$B$98:$B$107,MATCH(K$23,Inputs!$A$98:$A$107,0)),0)*$B$4*K24</f>
        <v/>
      </c>
      <c r="L28" s="40">
        <f>IFERROR(INDEX(Inputs!$B$98:$B$107,MATCH(L$23,Inputs!$A$98:$A$107,0)),0)*$B$4*L24</f>
        <v/>
      </c>
      <c r="M28" s="40">
        <f>IFERROR(INDEX(Inputs!$B$98:$B$107,MATCH(M$23,Inputs!$A$98:$A$107,0)),0)*$B$4*M24</f>
        <v/>
      </c>
      <c r="N28" s="40">
        <f>IFERROR(INDEX(Inputs!$B$98:$B$107,MATCH(N$23,Inputs!$A$98:$A$107,0)),0)*$B$4*N24</f>
        <v/>
      </c>
      <c r="O28" s="40">
        <f>IFERROR(INDEX(Inputs!$B$98:$B$107,MATCH(O$23,Inputs!$A$98:$A$107,0)),0)*$B$4*O24</f>
        <v/>
      </c>
      <c r="P28" s="40">
        <f>IFERROR(INDEX(Inputs!$B$98:$B$107,MATCH(P$23,Inputs!$A$98:$A$107,0)),0)*$B$4*P24</f>
        <v/>
      </c>
      <c r="Q28" s="40">
        <f>IFERROR(INDEX(Inputs!$B$98:$B$107,MATCH(Q$23,Inputs!$A$98:$A$107,0)),0)*$B$4*Q24</f>
        <v/>
      </c>
      <c r="R28" s="41">
        <f>SUM(C28:Q28)</f>
        <v/>
      </c>
    </row>
    <row r="29">
      <c r="A29" s="10" t="inlineStr">
        <is>
          <t>Paid new customers</t>
        </is>
      </c>
      <c r="C29" s="40">
        <f>IFERROR(INDEX(Inputs!$C$98:$C$107,MATCH(C$23,Inputs!$A$98:$A$107,0)),0)*$B$4*C24</f>
        <v/>
      </c>
      <c r="D29" s="40">
        <f>IFERROR(INDEX(Inputs!$C$98:$C$107,MATCH(D$23,Inputs!$A$98:$A$107,0)),0)*$B$4*D24</f>
        <v/>
      </c>
      <c r="E29" s="40">
        <f>IFERROR(INDEX(Inputs!$C$98:$C$107,MATCH(E$23,Inputs!$A$98:$A$107,0)),0)*$B$4*E24</f>
        <v/>
      </c>
      <c r="F29" s="40">
        <f>IFERROR(INDEX(Inputs!$C$98:$C$107,MATCH(F$23,Inputs!$A$98:$A$107,0)),0)*$B$4*F24</f>
        <v/>
      </c>
      <c r="G29" s="40">
        <f>IFERROR(INDEX(Inputs!$C$98:$C$107,MATCH(G$23,Inputs!$A$98:$A$107,0)),0)*$B$4*G24</f>
        <v/>
      </c>
      <c r="H29" s="40">
        <f>IFERROR(INDEX(Inputs!$C$98:$C$107,MATCH(H$23,Inputs!$A$98:$A$107,0)),0)*$B$4*H24</f>
        <v/>
      </c>
      <c r="I29" s="40">
        <f>IFERROR(INDEX(Inputs!$C$98:$C$107,MATCH(I$23,Inputs!$A$98:$A$107,0)),0)*$B$4*I24</f>
        <v/>
      </c>
      <c r="J29" s="40">
        <f>IFERROR(INDEX(Inputs!$C$98:$C$107,MATCH(J$23,Inputs!$A$98:$A$107,0)),0)*$B$4*J24</f>
        <v/>
      </c>
      <c r="K29" s="40">
        <f>IFERROR(INDEX(Inputs!$C$98:$C$107,MATCH(K$23,Inputs!$A$98:$A$107,0)),0)*$B$4*K24</f>
        <v/>
      </c>
      <c r="L29" s="40">
        <f>IFERROR(INDEX(Inputs!$C$98:$C$107,MATCH(L$23,Inputs!$A$98:$A$107,0)),0)*$B$4*L24</f>
        <v/>
      </c>
      <c r="M29" s="40">
        <f>IFERROR(INDEX(Inputs!$C$98:$C$107,MATCH(M$23,Inputs!$A$98:$A$107,0)),0)*$B$4*M24</f>
        <v/>
      </c>
      <c r="N29" s="40">
        <f>IFERROR(INDEX(Inputs!$C$98:$C$107,MATCH(N$23,Inputs!$A$98:$A$107,0)),0)*$B$4*N24</f>
        <v/>
      </c>
      <c r="O29" s="40">
        <f>IFERROR(INDEX(Inputs!$C$98:$C$107,MATCH(O$23,Inputs!$A$98:$A$107,0)),0)*$B$4*O24</f>
        <v/>
      </c>
      <c r="P29" s="40">
        <f>IFERROR(INDEX(Inputs!$C$98:$C$107,MATCH(P$23,Inputs!$A$98:$A$107,0)),0)*$B$4*P24</f>
        <v/>
      </c>
      <c r="Q29" s="40">
        <f>IFERROR(INDEX(Inputs!$C$98:$C$107,MATCH(Q$23,Inputs!$A$98:$A$107,0)),0)*$B$4*Q24</f>
        <v/>
      </c>
      <c r="R29" s="41">
        <f>SUM(C29:Q29)</f>
        <v/>
      </c>
    </row>
    <row r="30">
      <c r="A30" s="26" t="inlineStr">
        <is>
          <t>Total new DTC customers</t>
        </is>
      </c>
      <c r="C30" s="42">
        <f>C27+C28+C29</f>
        <v/>
      </c>
      <c r="D30" s="42">
        <f>D27+D28+D29</f>
        <v/>
      </c>
      <c r="E30" s="42">
        <f>E27+E28+E29</f>
        <v/>
      </c>
      <c r="F30" s="42">
        <f>F27+F28+F29</f>
        <v/>
      </c>
      <c r="G30" s="42">
        <f>G27+G28+G29</f>
        <v/>
      </c>
      <c r="H30" s="42">
        <f>H27+H28+H29</f>
        <v/>
      </c>
      <c r="I30" s="42">
        <f>I27+I28+I29</f>
        <v/>
      </c>
      <c r="J30" s="42">
        <f>J27+J28+J29</f>
        <v/>
      </c>
      <c r="K30" s="42">
        <f>K27+K28+K29</f>
        <v/>
      </c>
      <c r="L30" s="42">
        <f>L27+L28+L29</f>
        <v/>
      </c>
      <c r="M30" s="42">
        <f>M27+M28+M29</f>
        <v/>
      </c>
      <c r="N30" s="42">
        <f>N27+N28+N29</f>
        <v/>
      </c>
      <c r="O30" s="42">
        <f>O27+O28+O29</f>
        <v/>
      </c>
      <c r="P30" s="42">
        <f>P27+P28+P29</f>
        <v/>
      </c>
      <c r="Q30" s="42">
        <f>Q27+Q28+Q29</f>
        <v/>
      </c>
      <c r="R30" s="41">
        <f>SUM(C30:Q30)</f>
        <v/>
      </c>
    </row>
    <row r="31">
      <c r="A31" s="10" t="inlineStr">
        <is>
          <t>New subscribers</t>
        </is>
      </c>
      <c r="C31" s="40">
        <f>C30*in_SubShare</f>
        <v/>
      </c>
      <c r="D31" s="40">
        <f>D30*in_SubShare</f>
        <v/>
      </c>
      <c r="E31" s="40">
        <f>E30*in_SubShare</f>
        <v/>
      </c>
      <c r="F31" s="40">
        <f>F30*in_SubShare</f>
        <v/>
      </c>
      <c r="G31" s="40">
        <f>G30*in_SubShare</f>
        <v/>
      </c>
      <c r="H31" s="40">
        <f>H30*in_SubShare</f>
        <v/>
      </c>
      <c r="I31" s="40">
        <f>I30*in_SubShare</f>
        <v/>
      </c>
      <c r="J31" s="40">
        <f>J30*in_SubShare</f>
        <v/>
      </c>
      <c r="K31" s="40">
        <f>K30*in_SubShare</f>
        <v/>
      </c>
      <c r="L31" s="40">
        <f>L30*in_SubShare</f>
        <v/>
      </c>
      <c r="M31" s="40">
        <f>M30*in_SubShare</f>
        <v/>
      </c>
      <c r="N31" s="40">
        <f>N30*in_SubShare</f>
        <v/>
      </c>
      <c r="O31" s="40">
        <f>O30*in_SubShare</f>
        <v/>
      </c>
      <c r="P31" s="40">
        <f>P30*in_SubShare</f>
        <v/>
      </c>
      <c r="Q31" s="40">
        <f>Q30*in_SubShare</f>
        <v/>
      </c>
      <c r="R31" s="41">
        <f>SUM(C31:Q31)</f>
        <v/>
      </c>
    </row>
    <row r="32">
      <c r="A32" s="10" t="inlineStr">
        <is>
          <t>Active subscribers, end of month (= subscription orders)</t>
        </is>
      </c>
      <c r="B32" s="6" t="inlineStr">
        <is>
          <t>1 pouch/month each</t>
        </is>
      </c>
      <c r="C32" s="40">
        <f>C31</f>
        <v/>
      </c>
      <c r="D32" s="40">
        <f>C32*(1-in_SubChurn)+D31</f>
        <v/>
      </c>
      <c r="E32" s="40">
        <f>D32*(1-in_SubChurn)+E31</f>
        <v/>
      </c>
      <c r="F32" s="40">
        <f>E32*(1-in_SubChurn)+F31</f>
        <v/>
      </c>
      <c r="G32" s="40">
        <f>F32*(1-in_SubChurn)+G31</f>
        <v/>
      </c>
      <c r="H32" s="40">
        <f>G32*(1-in_SubChurn)+H31</f>
        <v/>
      </c>
      <c r="I32" s="40">
        <f>H32*(1-in_SubChurn)+I31</f>
        <v/>
      </c>
      <c r="J32" s="40">
        <f>I32*(1-in_SubChurn)+J31</f>
        <v/>
      </c>
      <c r="K32" s="40">
        <f>J32*(1-in_SubChurn)+K31</f>
        <v/>
      </c>
      <c r="L32" s="40">
        <f>K32*(1-in_SubChurn)+L31</f>
        <v/>
      </c>
      <c r="M32" s="40">
        <f>L32*(1-in_SubChurn)+M31</f>
        <v/>
      </c>
      <c r="N32" s="40">
        <f>M32*(1-in_SubChurn)+N31</f>
        <v/>
      </c>
      <c r="O32" s="40">
        <f>N32*(1-in_SubChurn)+O31</f>
        <v/>
      </c>
      <c r="P32" s="40">
        <f>O32*(1-in_SubChurn)+P31</f>
        <v/>
      </c>
      <c r="Q32" s="40">
        <f>P32*(1-in_SubChurn)+Q31</f>
        <v/>
      </c>
    </row>
    <row r="33">
      <c r="A33" s="10" t="inlineStr">
        <is>
          <t>One-off first orders</t>
        </is>
      </c>
      <c r="C33" s="40">
        <f>C30*(1-in_SubShare)</f>
        <v/>
      </c>
      <c r="D33" s="40">
        <f>D30*(1-in_SubShare)</f>
        <v/>
      </c>
      <c r="E33" s="40">
        <f>E30*(1-in_SubShare)</f>
        <v/>
      </c>
      <c r="F33" s="40">
        <f>F30*(1-in_SubShare)</f>
        <v/>
      </c>
      <c r="G33" s="40">
        <f>G30*(1-in_SubShare)</f>
        <v/>
      </c>
      <c r="H33" s="40">
        <f>H30*(1-in_SubShare)</f>
        <v/>
      </c>
      <c r="I33" s="40">
        <f>I30*(1-in_SubShare)</f>
        <v/>
      </c>
      <c r="J33" s="40">
        <f>J30*(1-in_SubShare)</f>
        <v/>
      </c>
      <c r="K33" s="40">
        <f>K30*(1-in_SubShare)</f>
        <v/>
      </c>
      <c r="L33" s="40">
        <f>L30*(1-in_SubShare)</f>
        <v/>
      </c>
      <c r="M33" s="40">
        <f>M30*(1-in_SubShare)</f>
        <v/>
      </c>
      <c r="N33" s="40">
        <f>N30*(1-in_SubShare)</f>
        <v/>
      </c>
      <c r="O33" s="40">
        <f>O30*(1-in_SubShare)</f>
        <v/>
      </c>
      <c r="P33" s="40">
        <f>P30*(1-in_SubShare)</f>
        <v/>
      </c>
      <c r="Q33" s="40">
        <f>Q30*(1-in_SubShare)</f>
        <v/>
      </c>
      <c r="R33" s="41">
        <f>SUM(C33:Q33)</f>
        <v/>
      </c>
    </row>
    <row r="34">
      <c r="A34" s="10" t="inlineStr">
        <is>
          <t>One-off repeat orders</t>
        </is>
      </c>
      <c r="C34" s="40">
        <f>0</f>
        <v/>
      </c>
      <c r="D34" s="40">
        <f>C35*in_Repeat</f>
        <v/>
      </c>
      <c r="E34" s="40">
        <f>D35*in_Repeat</f>
        <v/>
      </c>
      <c r="F34" s="40">
        <f>E35*in_Repeat</f>
        <v/>
      </c>
      <c r="G34" s="40">
        <f>F35*in_Repeat</f>
        <v/>
      </c>
      <c r="H34" s="40">
        <f>G35*in_Repeat</f>
        <v/>
      </c>
      <c r="I34" s="40">
        <f>H35*in_Repeat</f>
        <v/>
      </c>
      <c r="J34" s="40">
        <f>I35*in_Repeat</f>
        <v/>
      </c>
      <c r="K34" s="40">
        <f>J35*in_Repeat</f>
        <v/>
      </c>
      <c r="L34" s="40">
        <f>K35*in_Repeat</f>
        <v/>
      </c>
      <c r="M34" s="40">
        <f>L35*in_Repeat</f>
        <v/>
      </c>
      <c r="N34" s="40">
        <f>M35*in_Repeat</f>
        <v/>
      </c>
      <c r="O34" s="40">
        <f>N35*in_Repeat</f>
        <v/>
      </c>
      <c r="P34" s="40">
        <f>O35*in_Repeat</f>
        <v/>
      </c>
      <c r="Q34" s="40">
        <f>P35*in_Repeat</f>
        <v/>
      </c>
      <c r="R34" s="41">
        <f>SUM(C34:Q34)</f>
        <v/>
      </c>
    </row>
    <row r="35">
      <c r="A35" s="26" t="inlineStr">
        <is>
          <t>Total one-off pouch orders</t>
        </is>
      </c>
      <c r="C35" s="42">
        <f>C33+C34</f>
        <v/>
      </c>
      <c r="D35" s="42">
        <f>D33+D34</f>
        <v/>
      </c>
      <c r="E35" s="42">
        <f>E33+E34</f>
        <v/>
      </c>
      <c r="F35" s="42">
        <f>F33+F34</f>
        <v/>
      </c>
      <c r="G35" s="42">
        <f>G33+G34</f>
        <v/>
      </c>
      <c r="H35" s="42">
        <f>H33+H34</f>
        <v/>
      </c>
      <c r="I35" s="42">
        <f>I33+I34</f>
        <v/>
      </c>
      <c r="J35" s="42">
        <f>J33+J34</f>
        <v/>
      </c>
      <c r="K35" s="42">
        <f>K33+K34</f>
        <v/>
      </c>
      <c r="L35" s="42">
        <f>L33+L34</f>
        <v/>
      </c>
      <c r="M35" s="42">
        <f>M33+M34</f>
        <v/>
      </c>
      <c r="N35" s="42">
        <f>N33+N34</f>
        <v/>
      </c>
      <c r="O35" s="42">
        <f>O33+O34</f>
        <v/>
      </c>
      <c r="P35" s="42">
        <f>P33+P34</f>
        <v/>
      </c>
      <c r="Q35" s="42">
        <f>Q33+Q34</f>
        <v/>
      </c>
      <c r="R35" s="41">
        <f>SUM(C35:Q35)</f>
        <v/>
      </c>
    </row>
    <row r="36">
      <c r="A36" s="26" t="inlineStr">
        <is>
          <t>Total DTC pouch orders (one-off + subscription)</t>
        </is>
      </c>
      <c r="C36" s="42">
        <f>C35+C32</f>
        <v/>
      </c>
      <c r="D36" s="42">
        <f>D35+D32</f>
        <v/>
      </c>
      <c r="E36" s="42">
        <f>E35+E32</f>
        <v/>
      </c>
      <c r="F36" s="42">
        <f>F35+F32</f>
        <v/>
      </c>
      <c r="G36" s="42">
        <f>G35+G32</f>
        <v/>
      </c>
      <c r="H36" s="42">
        <f>H35+H32</f>
        <v/>
      </c>
      <c r="I36" s="42">
        <f>I35+I32</f>
        <v/>
      </c>
      <c r="J36" s="42">
        <f>J35+J32</f>
        <v/>
      </c>
      <c r="K36" s="42">
        <f>K35+K32</f>
        <v/>
      </c>
      <c r="L36" s="42">
        <f>L35+L32</f>
        <v/>
      </c>
      <c r="M36" s="42">
        <f>M35+M32</f>
        <v/>
      </c>
      <c r="N36" s="42">
        <f>N35+N32</f>
        <v/>
      </c>
      <c r="O36" s="42">
        <f>O35+O32</f>
        <v/>
      </c>
      <c r="P36" s="42">
        <f>P35+P32</f>
        <v/>
      </c>
      <c r="Q36" s="42">
        <f>Q35+Q32</f>
        <v/>
      </c>
      <c r="R36" s="41">
        <f>SUM(C36:Q36)</f>
        <v/>
      </c>
    </row>
    <row r="37">
      <c r="A37" s="10" t="inlineStr">
        <is>
          <t>DTC stick-box orders</t>
        </is>
      </c>
      <c r="C37" s="40">
        <f>C36*in_StickAttach</f>
        <v/>
      </c>
      <c r="D37" s="40">
        <f>D36*in_StickAttach</f>
        <v/>
      </c>
      <c r="E37" s="40">
        <f>E36*in_StickAttach</f>
        <v/>
      </c>
      <c r="F37" s="40">
        <f>F36*in_StickAttach</f>
        <v/>
      </c>
      <c r="G37" s="40">
        <f>G36*in_StickAttach</f>
        <v/>
      </c>
      <c r="H37" s="40">
        <f>H36*in_StickAttach</f>
        <v/>
      </c>
      <c r="I37" s="40">
        <f>I36*in_StickAttach</f>
        <v/>
      </c>
      <c r="J37" s="40">
        <f>J36*in_StickAttach</f>
        <v/>
      </c>
      <c r="K37" s="40">
        <f>K36*in_StickAttach</f>
        <v/>
      </c>
      <c r="L37" s="40">
        <f>L36*in_StickAttach</f>
        <v/>
      </c>
      <c r="M37" s="40">
        <f>M36*in_StickAttach</f>
        <v/>
      </c>
      <c r="N37" s="40">
        <f>N36*in_StickAttach</f>
        <v/>
      </c>
      <c r="O37" s="40">
        <f>O36*in_StickAttach</f>
        <v/>
      </c>
      <c r="P37" s="40">
        <f>P36*in_StickAttach</f>
        <v/>
      </c>
      <c r="Q37" s="40">
        <f>Q36*in_StickAttach</f>
        <v/>
      </c>
      <c r="R37" s="41">
        <f>SUM(C37:Q37)</f>
        <v/>
      </c>
    </row>
    <row r="39">
      <c r="A39" s="7" t="inlineStr">
        <is>
          <t>Wholesale (direct to stores)</t>
        </is>
      </c>
      <c r="B39" s="8" t="n"/>
      <c r="C39" s="8" t="n"/>
      <c r="D39" s="8" t="n"/>
      <c r="E39" s="8" t="n"/>
      <c r="F39" s="8" t="n"/>
      <c r="G39" s="8" t="n"/>
      <c r="H39" s="8" t="n"/>
      <c r="I39" s="8" t="n"/>
      <c r="J39" s="8" t="n"/>
      <c r="K39" s="8" t="n"/>
      <c r="L39" s="8" t="n"/>
      <c r="M39" s="8" t="n"/>
      <c r="N39" s="8" t="n"/>
      <c r="O39" s="8" t="n"/>
      <c r="P39" s="8" t="n"/>
      <c r="Q39" s="8" t="n"/>
      <c r="R39" s="8" t="n"/>
    </row>
    <row r="40">
      <c r="A40" s="10" t="inlineStr">
        <is>
          <t>New store accounts</t>
        </is>
      </c>
      <c r="C40" s="40">
        <f>IFERROR(INDEX(Inputs!$D$98:$D$107,MATCH(C$23,Inputs!$A$98:$A$107,0)),0)*$B$4*C24</f>
        <v/>
      </c>
      <c r="D40" s="40">
        <f>IFERROR(INDEX(Inputs!$D$98:$D$107,MATCH(D$23,Inputs!$A$98:$A$107,0)),0)*$B$4*D24</f>
        <v/>
      </c>
      <c r="E40" s="40">
        <f>IFERROR(INDEX(Inputs!$D$98:$D$107,MATCH(E$23,Inputs!$A$98:$A$107,0)),0)*$B$4*E24</f>
        <v/>
      </c>
      <c r="F40" s="40">
        <f>IFERROR(INDEX(Inputs!$D$98:$D$107,MATCH(F$23,Inputs!$A$98:$A$107,0)),0)*$B$4*F24</f>
        <v/>
      </c>
      <c r="G40" s="40">
        <f>IFERROR(INDEX(Inputs!$D$98:$D$107,MATCH(G$23,Inputs!$A$98:$A$107,0)),0)*$B$4*G24</f>
        <v/>
      </c>
      <c r="H40" s="40">
        <f>IFERROR(INDEX(Inputs!$D$98:$D$107,MATCH(H$23,Inputs!$A$98:$A$107,0)),0)*$B$4*H24</f>
        <v/>
      </c>
      <c r="I40" s="40">
        <f>IFERROR(INDEX(Inputs!$D$98:$D$107,MATCH(I$23,Inputs!$A$98:$A$107,0)),0)*$B$4*I24</f>
        <v/>
      </c>
      <c r="J40" s="40">
        <f>IFERROR(INDEX(Inputs!$D$98:$D$107,MATCH(J$23,Inputs!$A$98:$A$107,0)),0)*$B$4*J24</f>
        <v/>
      </c>
      <c r="K40" s="40">
        <f>IFERROR(INDEX(Inputs!$D$98:$D$107,MATCH(K$23,Inputs!$A$98:$A$107,0)),0)*$B$4*K24</f>
        <v/>
      </c>
      <c r="L40" s="40">
        <f>IFERROR(INDEX(Inputs!$D$98:$D$107,MATCH(L$23,Inputs!$A$98:$A$107,0)),0)*$B$4*L24</f>
        <v/>
      </c>
      <c r="M40" s="40">
        <f>IFERROR(INDEX(Inputs!$D$98:$D$107,MATCH(M$23,Inputs!$A$98:$A$107,0)),0)*$B$4*M24</f>
        <v/>
      </c>
      <c r="N40" s="40">
        <f>IFERROR(INDEX(Inputs!$D$98:$D$107,MATCH(N$23,Inputs!$A$98:$A$107,0)),0)*$B$4*N24</f>
        <v/>
      </c>
      <c r="O40" s="40">
        <f>IFERROR(INDEX(Inputs!$D$98:$D$107,MATCH(O$23,Inputs!$A$98:$A$107,0)),0)*$B$4*O24</f>
        <v/>
      </c>
      <c r="P40" s="40">
        <f>IFERROR(INDEX(Inputs!$D$98:$D$107,MATCH(P$23,Inputs!$A$98:$A$107,0)),0)*$B$4*P24</f>
        <v/>
      </c>
      <c r="Q40" s="40">
        <f>IFERROR(INDEX(Inputs!$D$98:$D$107,MATCH(Q$23,Inputs!$A$98:$A$107,0)),0)*$B$4*Q24</f>
        <v/>
      </c>
      <c r="R40" s="41">
        <f>SUM(C40:Q40)</f>
        <v/>
      </c>
    </row>
    <row r="41">
      <c r="A41" s="10" t="inlineStr">
        <is>
          <t>Active store accounts, end of month</t>
        </is>
      </c>
      <c r="C41" s="40">
        <f>C40</f>
        <v/>
      </c>
      <c r="D41" s="40">
        <f>C41*(1-in_StoreChurn)+D40</f>
        <v/>
      </c>
      <c r="E41" s="40">
        <f>D41*(1-in_StoreChurn)+E40</f>
        <v/>
      </c>
      <c r="F41" s="40">
        <f>E41*(1-in_StoreChurn)+F40</f>
        <v/>
      </c>
      <c r="G41" s="40">
        <f>F41*(1-in_StoreChurn)+G40</f>
        <v/>
      </c>
      <c r="H41" s="40">
        <f>G41*(1-in_StoreChurn)+H40</f>
        <v/>
      </c>
      <c r="I41" s="40">
        <f>H41*(1-in_StoreChurn)+I40</f>
        <v/>
      </c>
      <c r="J41" s="40">
        <f>I41*(1-in_StoreChurn)+J40</f>
        <v/>
      </c>
      <c r="K41" s="40">
        <f>J41*(1-in_StoreChurn)+K40</f>
        <v/>
      </c>
      <c r="L41" s="40">
        <f>K41*(1-in_StoreChurn)+L40</f>
        <v/>
      </c>
      <c r="M41" s="40">
        <f>L41*(1-in_StoreChurn)+M40</f>
        <v/>
      </c>
      <c r="N41" s="40">
        <f>M41*(1-in_StoreChurn)+N40</f>
        <v/>
      </c>
      <c r="O41" s="40">
        <f>N41*(1-in_StoreChurn)+O40</f>
        <v/>
      </c>
      <c r="P41" s="40">
        <f>O41*(1-in_StoreChurn)+P40</f>
        <v/>
      </c>
      <c r="Q41" s="40">
        <f>P41*(1-in_StoreChurn)+Q40</f>
        <v/>
      </c>
    </row>
    <row r="42">
      <c r="A42" s="10" t="inlineStr">
        <is>
          <t>Wholesale pouches shipped</t>
        </is>
      </c>
      <c r="C42" s="40">
        <f>C41*in_PouchPerStore</f>
        <v/>
      </c>
      <c r="D42" s="40">
        <f>D41*in_PouchPerStore</f>
        <v/>
      </c>
      <c r="E42" s="40">
        <f>E41*in_PouchPerStore</f>
        <v/>
      </c>
      <c r="F42" s="40">
        <f>F41*in_PouchPerStore</f>
        <v/>
      </c>
      <c r="G42" s="40">
        <f>G41*in_PouchPerStore</f>
        <v/>
      </c>
      <c r="H42" s="40">
        <f>H41*in_PouchPerStore</f>
        <v/>
      </c>
      <c r="I42" s="40">
        <f>I41*in_PouchPerStore</f>
        <v/>
      </c>
      <c r="J42" s="40">
        <f>J41*in_PouchPerStore</f>
        <v/>
      </c>
      <c r="K42" s="40">
        <f>K41*in_PouchPerStore</f>
        <v/>
      </c>
      <c r="L42" s="40">
        <f>L41*in_PouchPerStore</f>
        <v/>
      </c>
      <c r="M42" s="40">
        <f>M41*in_PouchPerStore</f>
        <v/>
      </c>
      <c r="N42" s="40">
        <f>N41*in_PouchPerStore</f>
        <v/>
      </c>
      <c r="O42" s="40">
        <f>O41*in_PouchPerStore</f>
        <v/>
      </c>
      <c r="P42" s="40">
        <f>P41*in_PouchPerStore</f>
        <v/>
      </c>
      <c r="Q42" s="40">
        <f>Q41*in_PouchPerStore</f>
        <v/>
      </c>
      <c r="R42" s="41">
        <f>SUM(C42:Q42)</f>
        <v/>
      </c>
    </row>
    <row r="43">
      <c r="A43" s="10" t="inlineStr">
        <is>
          <t>Wholesale sticks shipped</t>
        </is>
      </c>
      <c r="C43" s="40">
        <f>C41*in_StickPerStore</f>
        <v/>
      </c>
      <c r="D43" s="40">
        <f>D41*in_StickPerStore</f>
        <v/>
      </c>
      <c r="E43" s="40">
        <f>E41*in_StickPerStore</f>
        <v/>
      </c>
      <c r="F43" s="40">
        <f>F41*in_StickPerStore</f>
        <v/>
      </c>
      <c r="G43" s="40">
        <f>G41*in_StickPerStore</f>
        <v/>
      </c>
      <c r="H43" s="40">
        <f>H41*in_StickPerStore</f>
        <v/>
      </c>
      <c r="I43" s="40">
        <f>I41*in_StickPerStore</f>
        <v/>
      </c>
      <c r="J43" s="40">
        <f>J41*in_StickPerStore</f>
        <v/>
      </c>
      <c r="K43" s="40">
        <f>K41*in_StickPerStore</f>
        <v/>
      </c>
      <c r="L43" s="40">
        <f>L41*in_StickPerStore</f>
        <v/>
      </c>
      <c r="M43" s="40">
        <f>M41*in_StickPerStore</f>
        <v/>
      </c>
      <c r="N43" s="40">
        <f>N41*in_StickPerStore</f>
        <v/>
      </c>
      <c r="O43" s="40">
        <f>O41*in_StickPerStore</f>
        <v/>
      </c>
      <c r="P43" s="40">
        <f>P41*in_StickPerStore</f>
        <v/>
      </c>
      <c r="Q43" s="40">
        <f>Q41*in_StickPerStore</f>
        <v/>
      </c>
      <c r="R43" s="41">
        <f>SUM(C43:Q43)</f>
        <v/>
      </c>
    </row>
    <row r="45">
      <c r="A45" s="7" t="inlineStr">
        <is>
          <t>Pouch inventory (units)</t>
        </is>
      </c>
      <c r="B45" s="8" t="n"/>
      <c r="C45" s="8" t="n"/>
      <c r="D45" s="8" t="n"/>
      <c r="E45" s="8" t="n"/>
      <c r="F45" s="8" t="n"/>
      <c r="G45" s="8" t="n"/>
      <c r="H45" s="8" t="n"/>
      <c r="I45" s="8" t="n"/>
      <c r="J45" s="8" t="n"/>
      <c r="K45" s="8" t="n"/>
      <c r="L45" s="8" t="n"/>
      <c r="M45" s="8" t="n"/>
      <c r="N45" s="8" t="n"/>
      <c r="O45" s="8" t="n"/>
      <c r="P45" s="8" t="n"/>
      <c r="Q45" s="8" t="n"/>
      <c r="R45" s="8" t="n"/>
    </row>
    <row r="46">
      <c r="A46" s="10" t="inlineStr">
        <is>
          <t>Pouch demand</t>
        </is>
      </c>
      <c r="C46" s="43">
        <f>C36*in_PouchPerOrder+C42</f>
        <v/>
      </c>
      <c r="D46" s="43">
        <f>D36*in_PouchPerOrder+D42</f>
        <v/>
      </c>
      <c r="E46" s="43">
        <f>E36*in_PouchPerOrder+E42</f>
        <v/>
      </c>
      <c r="F46" s="43">
        <f>F36*in_PouchPerOrder+F42</f>
        <v/>
      </c>
      <c r="G46" s="43">
        <f>G36*in_PouchPerOrder+G42</f>
        <v/>
      </c>
      <c r="H46" s="43">
        <f>H36*in_PouchPerOrder+H42</f>
        <v/>
      </c>
      <c r="I46" s="43">
        <f>I36*in_PouchPerOrder+I42</f>
        <v/>
      </c>
      <c r="J46" s="43">
        <f>J36*in_PouchPerOrder+J42</f>
        <v/>
      </c>
      <c r="K46" s="43">
        <f>K36*in_PouchPerOrder+K42</f>
        <v/>
      </c>
      <c r="L46" s="43">
        <f>L36*in_PouchPerOrder+L42</f>
        <v/>
      </c>
      <c r="M46" s="43">
        <f>M36*in_PouchPerOrder+M42</f>
        <v/>
      </c>
      <c r="N46" s="43">
        <f>N36*in_PouchPerOrder+N42</f>
        <v/>
      </c>
      <c r="O46" s="43">
        <f>O36*in_PouchPerOrder+O42</f>
        <v/>
      </c>
      <c r="P46" s="43">
        <f>P36*in_PouchPerOrder+P42</f>
        <v/>
      </c>
      <c r="Q46" s="43">
        <f>Q36*in_PouchPerOrder+Q42</f>
        <v/>
      </c>
      <c r="R46" s="44">
        <f>SUM(C46:Q46)</f>
        <v/>
      </c>
    </row>
    <row r="47">
      <c r="A47" s="10" t="inlineStr">
        <is>
          <t>Opening stock</t>
        </is>
      </c>
      <c r="C47" s="43">
        <f>0</f>
        <v/>
      </c>
      <c r="D47" s="43">
        <f>C55</f>
        <v/>
      </c>
      <c r="E47" s="43">
        <f>D55</f>
        <v/>
      </c>
      <c r="F47" s="43">
        <f>E55</f>
        <v/>
      </c>
      <c r="G47" s="43">
        <f>F55</f>
        <v/>
      </c>
      <c r="H47" s="43">
        <f>G55</f>
        <v/>
      </c>
      <c r="I47" s="43">
        <f>H55</f>
        <v/>
      </c>
      <c r="J47" s="43">
        <f>I55</f>
        <v/>
      </c>
      <c r="K47" s="43">
        <f>J55</f>
        <v/>
      </c>
      <c r="L47" s="43">
        <f>K55</f>
        <v/>
      </c>
      <c r="M47" s="43">
        <f>L55</f>
        <v/>
      </c>
      <c r="N47" s="43">
        <f>M55</f>
        <v/>
      </c>
      <c r="O47" s="43">
        <f>N55</f>
        <v/>
      </c>
      <c r="P47" s="43">
        <f>O55</f>
        <v/>
      </c>
      <c r="Q47" s="43">
        <f>P55</f>
        <v/>
      </c>
    </row>
    <row r="48">
      <c r="A48" s="10" t="inlineStr">
        <is>
          <t>First run received</t>
        </is>
      </c>
      <c r="C48" s="43">
        <f>IF(EOMONTH(in_FirstShip,0)=EOMONTH(C$23,0),$B$8,0)</f>
        <v/>
      </c>
      <c r="D48" s="43">
        <f>IF(EOMONTH(in_FirstShip,0)=EOMONTH(D$23,0),$B$8,0)</f>
        <v/>
      </c>
      <c r="E48" s="43">
        <f>IF(EOMONTH(in_FirstShip,0)=EOMONTH(E$23,0),$B$8,0)</f>
        <v/>
      </c>
      <c r="F48" s="43">
        <f>IF(EOMONTH(in_FirstShip,0)=EOMONTH(F$23,0),$B$8,0)</f>
        <v/>
      </c>
      <c r="G48" s="43">
        <f>IF(EOMONTH(in_FirstShip,0)=EOMONTH(G$23,0),$B$8,0)</f>
        <v/>
      </c>
      <c r="H48" s="43">
        <f>IF(EOMONTH(in_FirstShip,0)=EOMONTH(H$23,0),$B$8,0)</f>
        <v/>
      </c>
      <c r="I48" s="43">
        <f>IF(EOMONTH(in_FirstShip,0)=EOMONTH(I$23,0),$B$8,0)</f>
        <v/>
      </c>
      <c r="J48" s="43">
        <f>IF(EOMONTH(in_FirstShip,0)=EOMONTH(J$23,0),$B$8,0)</f>
        <v/>
      </c>
      <c r="K48" s="43">
        <f>IF(EOMONTH(in_FirstShip,0)=EOMONTH(K$23,0),$B$8,0)</f>
        <v/>
      </c>
      <c r="L48" s="43">
        <f>IF(EOMONTH(in_FirstShip,0)=EOMONTH(L$23,0),$B$8,0)</f>
        <v/>
      </c>
      <c r="M48" s="43">
        <f>IF(EOMONTH(in_FirstShip,0)=EOMONTH(M$23,0),$B$8,0)</f>
        <v/>
      </c>
      <c r="N48" s="43">
        <f>IF(EOMONTH(in_FirstShip,0)=EOMONTH(N$23,0),$B$8,0)</f>
        <v/>
      </c>
      <c r="O48" s="43">
        <f>IF(EOMONTH(in_FirstShip,0)=EOMONTH(O$23,0),$B$8,0)</f>
        <v/>
      </c>
      <c r="P48" s="43">
        <f>IF(EOMONTH(in_FirstShip,0)=EOMONTH(P$23,0),$B$8,0)</f>
        <v/>
      </c>
      <c r="Q48" s="43">
        <f>IF(EOMONTH(in_FirstShip,0)=EOMONTH(Q$23,0),$B$8,0)</f>
        <v/>
      </c>
      <c r="R48" s="44">
        <f>SUM(C48:Q48)</f>
        <v/>
      </c>
    </row>
    <row r="49">
      <c r="A49" s="10" t="inlineStr">
        <is>
          <t>Second flavour first run received</t>
        </is>
      </c>
      <c r="C49" s="43">
        <f>IF(AND(in_Flavor2On=1,EOMONTH(in_Flavor2Run,0)=EOMONTH(C$23,0)),$B$8,0)</f>
        <v/>
      </c>
      <c r="D49" s="43">
        <f>IF(AND(in_Flavor2On=1,EOMONTH(in_Flavor2Run,0)=EOMONTH(D$23,0)),$B$8,0)</f>
        <v/>
      </c>
      <c r="E49" s="43">
        <f>IF(AND(in_Flavor2On=1,EOMONTH(in_Flavor2Run,0)=EOMONTH(E$23,0)),$B$8,0)</f>
        <v/>
      </c>
      <c r="F49" s="43">
        <f>IF(AND(in_Flavor2On=1,EOMONTH(in_Flavor2Run,0)=EOMONTH(F$23,0)),$B$8,0)</f>
        <v/>
      </c>
      <c r="G49" s="43">
        <f>IF(AND(in_Flavor2On=1,EOMONTH(in_Flavor2Run,0)=EOMONTH(G$23,0)),$B$8,0)</f>
        <v/>
      </c>
      <c r="H49" s="43">
        <f>IF(AND(in_Flavor2On=1,EOMONTH(in_Flavor2Run,0)=EOMONTH(H$23,0)),$B$8,0)</f>
        <v/>
      </c>
      <c r="I49" s="43">
        <f>IF(AND(in_Flavor2On=1,EOMONTH(in_Flavor2Run,0)=EOMONTH(I$23,0)),$B$8,0)</f>
        <v/>
      </c>
      <c r="J49" s="43">
        <f>IF(AND(in_Flavor2On=1,EOMONTH(in_Flavor2Run,0)=EOMONTH(J$23,0)),$B$8,0)</f>
        <v/>
      </c>
      <c r="K49" s="43">
        <f>IF(AND(in_Flavor2On=1,EOMONTH(in_Flavor2Run,0)=EOMONTH(K$23,0)),$B$8,0)</f>
        <v/>
      </c>
      <c r="L49" s="43">
        <f>IF(AND(in_Flavor2On=1,EOMONTH(in_Flavor2Run,0)=EOMONTH(L$23,0)),$B$8,0)</f>
        <v/>
      </c>
      <c r="M49" s="43">
        <f>IF(AND(in_Flavor2On=1,EOMONTH(in_Flavor2Run,0)=EOMONTH(M$23,0)),$B$8,0)</f>
        <v/>
      </c>
      <c r="N49" s="43">
        <f>IF(AND(in_Flavor2On=1,EOMONTH(in_Flavor2Run,0)=EOMONTH(N$23,0)),$B$8,0)</f>
        <v/>
      </c>
      <c r="O49" s="43">
        <f>IF(AND(in_Flavor2On=1,EOMONTH(in_Flavor2Run,0)=EOMONTH(O$23,0)),$B$8,0)</f>
        <v/>
      </c>
      <c r="P49" s="43">
        <f>IF(AND(in_Flavor2On=1,EOMONTH(in_Flavor2Run,0)=EOMONTH(P$23,0)),$B$8,0)</f>
        <v/>
      </c>
      <c r="Q49" s="43">
        <f>IF(AND(in_Flavor2On=1,EOMONTH(in_Flavor2Run,0)=EOMONTH(Q$23,0)),$B$8,0)</f>
        <v/>
      </c>
      <c r="R49" s="44">
        <f>SUM(C49:Q49)</f>
        <v/>
      </c>
    </row>
    <row r="50">
      <c r="A50" s="10" t="inlineStr">
        <is>
          <t>Reorders received (placed lead-time months earlier)</t>
        </is>
      </c>
      <c r="B50" s="6" t="inlineStr">
        <is>
          <t>Lead-time input</t>
        </is>
      </c>
      <c r="C50" s="43">
        <f>IF(in_Lead=1,0,IF(in_Lead=2,0,IF(in_Lead=3,0,0)))</f>
        <v/>
      </c>
      <c r="D50" s="43">
        <f>IF(in_Lead=1,C52,IF(in_Lead=2,0,IF(in_Lead=3,0,0)))</f>
        <v/>
      </c>
      <c r="E50" s="43">
        <f>IF(in_Lead=1,D52,IF(in_Lead=2,C52,IF(in_Lead=3,0,0)))</f>
        <v/>
      </c>
      <c r="F50" s="43">
        <f>IF(in_Lead=1,E52,IF(in_Lead=2,D52,IF(in_Lead=3,C52,0)))</f>
        <v/>
      </c>
      <c r="G50" s="43">
        <f>IF(in_Lead=1,F52,IF(in_Lead=2,E52,IF(in_Lead=3,D52,0)))</f>
        <v/>
      </c>
      <c r="H50" s="43">
        <f>IF(in_Lead=1,G52,IF(in_Lead=2,F52,IF(in_Lead=3,E52,0)))</f>
        <v/>
      </c>
      <c r="I50" s="43">
        <f>IF(in_Lead=1,H52,IF(in_Lead=2,G52,IF(in_Lead=3,F52,0)))</f>
        <v/>
      </c>
      <c r="J50" s="43">
        <f>IF(in_Lead=1,I52,IF(in_Lead=2,H52,IF(in_Lead=3,G52,0)))</f>
        <v/>
      </c>
      <c r="K50" s="43">
        <f>IF(in_Lead=1,J52,IF(in_Lead=2,I52,IF(in_Lead=3,H52,0)))</f>
        <v/>
      </c>
      <c r="L50" s="43">
        <f>IF(in_Lead=1,K52,IF(in_Lead=2,J52,IF(in_Lead=3,I52,0)))</f>
        <v/>
      </c>
      <c r="M50" s="43">
        <f>IF(in_Lead=1,L52,IF(in_Lead=2,K52,IF(in_Lead=3,J52,0)))</f>
        <v/>
      </c>
      <c r="N50" s="43">
        <f>IF(in_Lead=1,M52,IF(in_Lead=2,L52,IF(in_Lead=3,K52,0)))</f>
        <v/>
      </c>
      <c r="O50" s="43">
        <f>IF(in_Lead=1,N52,IF(in_Lead=2,M52,IF(in_Lead=3,L52,0)))</f>
        <v/>
      </c>
      <c r="P50" s="43">
        <f>IF(in_Lead=1,O52,IF(in_Lead=2,N52,IF(in_Lead=3,M52,0)))</f>
        <v/>
      </c>
      <c r="Q50" s="43">
        <f>IF(in_Lead=1,P52,IF(in_Lead=2,O52,IF(in_Lead=3,N52,0)))</f>
        <v/>
      </c>
      <c r="R50" s="44">
        <f>SUM(C50:Q50)</f>
        <v/>
      </c>
    </row>
    <row r="51">
      <c r="A51" s="10" t="inlineStr">
        <is>
          <t>On order, still in transit after this month</t>
        </is>
      </c>
      <c r="C51" s="43">
        <f>IF(in_Lead&gt;=2,0,0)+IF(in_Lead&gt;=3,0,0)</f>
        <v/>
      </c>
      <c r="D51" s="43">
        <f>IF(in_Lead&gt;=2,C52,0)+IF(in_Lead&gt;=3,0,0)</f>
        <v/>
      </c>
      <c r="E51" s="43">
        <f>IF(in_Lead&gt;=2,D52,0)+IF(in_Lead&gt;=3,C52,0)</f>
        <v/>
      </c>
      <c r="F51" s="43">
        <f>IF(in_Lead&gt;=2,E52,0)+IF(in_Lead&gt;=3,D52,0)</f>
        <v/>
      </c>
      <c r="G51" s="43">
        <f>IF(in_Lead&gt;=2,F52,0)+IF(in_Lead&gt;=3,E52,0)</f>
        <v/>
      </c>
      <c r="H51" s="43">
        <f>IF(in_Lead&gt;=2,G52,0)+IF(in_Lead&gt;=3,F52,0)</f>
        <v/>
      </c>
      <c r="I51" s="43">
        <f>IF(in_Lead&gt;=2,H52,0)+IF(in_Lead&gt;=3,G52,0)</f>
        <v/>
      </c>
      <c r="J51" s="43">
        <f>IF(in_Lead&gt;=2,I52,0)+IF(in_Lead&gt;=3,H52,0)</f>
        <v/>
      </c>
      <c r="K51" s="43">
        <f>IF(in_Lead&gt;=2,J52,0)+IF(in_Lead&gt;=3,I52,0)</f>
        <v/>
      </c>
      <c r="L51" s="43">
        <f>IF(in_Lead&gt;=2,K52,0)+IF(in_Lead&gt;=3,J52,0)</f>
        <v/>
      </c>
      <c r="M51" s="43">
        <f>IF(in_Lead&gt;=2,L52,0)+IF(in_Lead&gt;=3,K52,0)</f>
        <v/>
      </c>
      <c r="N51" s="43">
        <f>IF(in_Lead&gt;=2,M52,0)+IF(in_Lead&gt;=3,L52,0)</f>
        <v/>
      </c>
      <c r="O51" s="43">
        <f>IF(in_Lead&gt;=2,N52,0)+IF(in_Lead&gt;=3,M52,0)</f>
        <v/>
      </c>
      <c r="P51" s="43">
        <f>IF(in_Lead&gt;=2,O52,0)+IF(in_Lead&gt;=3,N52,0)</f>
        <v/>
      </c>
      <c r="Q51" s="43">
        <f>IF(in_Lead&gt;=2,P52,0)+IF(in_Lead&gt;=3,O52,0)</f>
        <v/>
      </c>
    </row>
    <row r="52">
      <c r="A52" s="10" t="inlineStr">
        <is>
          <t>Reorder placed and paid (stock + on order below reorder point)</t>
        </is>
      </c>
      <c r="B52" s="6" t="inlineStr">
        <is>
          <t>Paid when placed</t>
        </is>
      </c>
      <c r="C52" s="43">
        <f>IF(C24=1,IF(C47+C48+C49+C50+C51&lt;C46*in_Cover,ROUNDUP((C46*in_Cover-(C47+C48+C49+C50+C51))/$B$8,0)*$B$8,0),0)</f>
        <v/>
      </c>
      <c r="D52" s="43">
        <f>IF(D24=1,IF(D47+D48+D49+D50+D51&lt;D46*in_Cover,ROUNDUP((D46*in_Cover-(D47+D48+D49+D50+D51))/$B$8,0)*$B$8,0),0)</f>
        <v/>
      </c>
      <c r="E52" s="43">
        <f>IF(E24=1,IF(E47+E48+E49+E50+E51&lt;E46*in_Cover,ROUNDUP((E46*in_Cover-(E47+E48+E49+E50+E51))/$B$8,0)*$B$8,0),0)</f>
        <v/>
      </c>
      <c r="F52" s="43">
        <f>IF(F24=1,IF(F47+F48+F49+F50+F51&lt;F46*in_Cover,ROUNDUP((F46*in_Cover-(F47+F48+F49+F50+F51))/$B$8,0)*$B$8,0),0)</f>
        <v/>
      </c>
      <c r="G52" s="43">
        <f>IF(G24=1,IF(G47+G48+G49+G50+G51&lt;G46*in_Cover,ROUNDUP((G46*in_Cover-(G47+G48+G49+G50+G51))/$B$8,0)*$B$8,0),0)</f>
        <v/>
      </c>
      <c r="H52" s="43">
        <f>IF(H24=1,IF(H47+H48+H49+H50+H51&lt;H46*in_Cover,ROUNDUP((H46*in_Cover-(H47+H48+H49+H50+H51))/$B$8,0)*$B$8,0),0)</f>
        <v/>
      </c>
      <c r="I52" s="43">
        <f>IF(I24=1,IF(I47+I48+I49+I50+I51&lt;I46*in_Cover,ROUNDUP((I46*in_Cover-(I47+I48+I49+I50+I51))/$B$8,0)*$B$8,0),0)</f>
        <v/>
      </c>
      <c r="J52" s="43">
        <f>IF(J24=1,IF(J47+J48+J49+J50+J51&lt;J46*in_Cover,ROUNDUP((J46*in_Cover-(J47+J48+J49+J50+J51))/$B$8,0)*$B$8,0),0)</f>
        <v/>
      </c>
      <c r="K52" s="43">
        <f>IF(K24=1,IF(K47+K48+K49+K50+K51&lt;K46*in_Cover,ROUNDUP((K46*in_Cover-(K47+K48+K49+K50+K51))/$B$8,0)*$B$8,0),0)</f>
        <v/>
      </c>
      <c r="L52" s="43">
        <f>IF(L24=1,IF(L47+L48+L49+L50+L51&lt;L46*in_Cover,ROUNDUP((L46*in_Cover-(L47+L48+L49+L50+L51))/$B$8,0)*$B$8,0),0)</f>
        <v/>
      </c>
      <c r="M52" s="43">
        <f>IF(M24=1,IF(M47+M48+M49+M50+M51&lt;M46*in_Cover,ROUNDUP((M46*in_Cover-(M47+M48+M49+M50+M51))/$B$8,0)*$B$8,0),0)</f>
        <v/>
      </c>
      <c r="N52" s="43">
        <f>IF(N24=1,IF(N47+N48+N49+N50+N51&lt;N46*in_Cover,ROUNDUP((N46*in_Cover-(N47+N48+N49+N50+N51))/$B$8,0)*$B$8,0),0)</f>
        <v/>
      </c>
      <c r="O52" s="43">
        <f>IF(O24=1,IF(O47+O48+O49+O50+O51&lt;O46*in_Cover,ROUNDUP((O46*in_Cover-(O47+O48+O49+O50+O51))/$B$8,0)*$B$8,0),0)</f>
        <v/>
      </c>
      <c r="P52" s="43">
        <f>IF(P24=1,IF(P47+P48+P49+P50+P51&lt;P46*in_Cover,ROUNDUP((P46*in_Cover-(P47+P48+P49+P50+P51))/$B$8,0)*$B$8,0),0)</f>
        <v/>
      </c>
      <c r="Q52" s="43">
        <f>IF(Q24=1,IF(Q47+Q48+Q49+Q50+Q51&lt;Q46*in_Cover,ROUNDUP((Q46*in_Cover-(Q47+Q48+Q49+Q50+Q51))/$B$8,0)*$B$8,0),0)</f>
        <v/>
      </c>
      <c r="R52" s="44">
        <f>SUM(C52:Q52)</f>
        <v/>
      </c>
    </row>
    <row r="53">
      <c r="A53" s="10" t="inlineStr">
        <is>
          <t>Pouches sold</t>
        </is>
      </c>
      <c r="C53" s="43">
        <f>MIN(C46,C47+C48+C49+C50)</f>
        <v/>
      </c>
      <c r="D53" s="43">
        <f>MIN(D46,D47+D48+D49+D50)</f>
        <v/>
      </c>
      <c r="E53" s="43">
        <f>MIN(E46,E47+E48+E49+E50)</f>
        <v/>
      </c>
      <c r="F53" s="43">
        <f>MIN(F46,F47+F48+F49+F50)</f>
        <v/>
      </c>
      <c r="G53" s="43">
        <f>MIN(G46,G47+G48+G49+G50)</f>
        <v/>
      </c>
      <c r="H53" s="43">
        <f>MIN(H46,H47+H48+H49+H50)</f>
        <v/>
      </c>
      <c r="I53" s="43">
        <f>MIN(I46,I47+I48+I49+I50)</f>
        <v/>
      </c>
      <c r="J53" s="43">
        <f>MIN(J46,J47+J48+J49+J50)</f>
        <v/>
      </c>
      <c r="K53" s="43">
        <f>MIN(K46,K47+K48+K49+K50)</f>
        <v/>
      </c>
      <c r="L53" s="43">
        <f>MIN(L46,L47+L48+L49+L50)</f>
        <v/>
      </c>
      <c r="M53" s="43">
        <f>MIN(M46,M47+M48+M49+M50)</f>
        <v/>
      </c>
      <c r="N53" s="43">
        <f>MIN(N46,N47+N48+N49+N50)</f>
        <v/>
      </c>
      <c r="O53" s="43">
        <f>MIN(O46,O47+O48+O49+O50)</f>
        <v/>
      </c>
      <c r="P53" s="43">
        <f>MIN(P46,P47+P48+P49+P50)</f>
        <v/>
      </c>
      <c r="Q53" s="43">
        <f>MIN(Q46,Q47+Q48+Q49+Q50)</f>
        <v/>
      </c>
      <c r="R53" s="44">
        <f>SUM(C53:Q53)</f>
        <v/>
      </c>
    </row>
    <row r="54">
      <c r="A54" s="10" t="inlineStr">
        <is>
          <t>Pouch shortfall (check: should be 0)</t>
        </is>
      </c>
      <c r="B54" s="6" t="inlineStr">
        <is>
          <t>Must stay 0</t>
        </is>
      </c>
      <c r="C54" s="43">
        <f>C46-C53</f>
        <v/>
      </c>
      <c r="D54" s="43">
        <f>D46-D53</f>
        <v/>
      </c>
      <c r="E54" s="43">
        <f>E46-E53</f>
        <v/>
      </c>
      <c r="F54" s="43">
        <f>F46-F53</f>
        <v/>
      </c>
      <c r="G54" s="43">
        <f>G46-G53</f>
        <v/>
      </c>
      <c r="H54" s="43">
        <f>H46-H53</f>
        <v/>
      </c>
      <c r="I54" s="43">
        <f>I46-I53</f>
        <v/>
      </c>
      <c r="J54" s="43">
        <f>J46-J53</f>
        <v/>
      </c>
      <c r="K54" s="43">
        <f>K46-K53</f>
        <v/>
      </c>
      <c r="L54" s="43">
        <f>L46-L53</f>
        <v/>
      </c>
      <c r="M54" s="43">
        <f>M46-M53</f>
        <v/>
      </c>
      <c r="N54" s="43">
        <f>N46-N53</f>
        <v/>
      </c>
      <c r="O54" s="43">
        <f>O46-O53</f>
        <v/>
      </c>
      <c r="P54" s="43">
        <f>P46-P53</f>
        <v/>
      </c>
      <c r="Q54" s="43">
        <f>Q46-Q53</f>
        <v/>
      </c>
      <c r="R54" s="44">
        <f>SUM(C54:Q54)</f>
        <v/>
      </c>
    </row>
    <row r="55">
      <c r="A55" s="10" t="inlineStr">
        <is>
          <t>Closing stock</t>
        </is>
      </c>
      <c r="C55" s="43">
        <f>C47+C48+C49+C50-C53</f>
        <v/>
      </c>
      <c r="D55" s="43">
        <f>D47+D48+D49+D50-D53</f>
        <v/>
      </c>
      <c r="E55" s="43">
        <f>E47+E48+E49+E50-E53</f>
        <v/>
      </c>
      <c r="F55" s="43">
        <f>F47+F48+F49+F50-F53</f>
        <v/>
      </c>
      <c r="G55" s="43">
        <f>G47+G48+G49+G50-G53</f>
        <v/>
      </c>
      <c r="H55" s="43">
        <f>H47+H48+H49+H50-H53</f>
        <v/>
      </c>
      <c r="I55" s="43">
        <f>I47+I48+I49+I50-I53</f>
        <v/>
      </c>
      <c r="J55" s="43">
        <f>J47+J48+J49+J50-J53</f>
        <v/>
      </c>
      <c r="K55" s="43">
        <f>K47+K48+K49+K50-K53</f>
        <v/>
      </c>
      <c r="L55" s="43">
        <f>L47+L48+L49+L50-L53</f>
        <v/>
      </c>
      <c r="M55" s="43">
        <f>M47+M48+M49+M50-M53</f>
        <v/>
      </c>
      <c r="N55" s="43">
        <f>N47+N48+N49+N50-N53</f>
        <v/>
      </c>
      <c r="O55" s="43">
        <f>O47+O48+O49+O50-O53</f>
        <v/>
      </c>
      <c r="P55" s="43">
        <f>P47+P48+P49+P50-P53</f>
        <v/>
      </c>
      <c r="Q55" s="43">
        <f>Q47+Q48+Q49+Q50-Q53</f>
        <v/>
      </c>
    </row>
    <row r="57">
      <c r="A57" s="7" t="inlineStr">
        <is>
          <t>Protein stick inventory (units)</t>
        </is>
      </c>
      <c r="B57" s="8" t="n"/>
      <c r="C57" s="8" t="n"/>
      <c r="D57" s="8" t="n"/>
      <c r="E57" s="8" t="n"/>
      <c r="F57" s="8" t="n"/>
      <c r="G57" s="8" t="n"/>
      <c r="H57" s="8" t="n"/>
      <c r="I57" s="8" t="n"/>
      <c r="J57" s="8" t="n"/>
      <c r="K57" s="8" t="n"/>
      <c r="L57" s="8" t="n"/>
      <c r="M57" s="8" t="n"/>
      <c r="N57" s="8" t="n"/>
      <c r="O57" s="8" t="n"/>
      <c r="P57" s="8" t="n"/>
      <c r="Q57" s="8" t="n"/>
      <c r="R57" s="8" t="n"/>
    </row>
    <row r="58">
      <c r="A58" s="10" t="inlineStr">
        <is>
          <t>Stick demand</t>
        </is>
      </c>
      <c r="C58" s="43">
        <f>C37*in_SticksPerBox+C43</f>
        <v/>
      </c>
      <c r="D58" s="43">
        <f>D37*in_SticksPerBox+D43</f>
        <v/>
      </c>
      <c r="E58" s="43">
        <f>E37*in_SticksPerBox+E43</f>
        <v/>
      </c>
      <c r="F58" s="43">
        <f>F37*in_SticksPerBox+F43</f>
        <v/>
      </c>
      <c r="G58" s="43">
        <f>G37*in_SticksPerBox+G43</f>
        <v/>
      </c>
      <c r="H58" s="43">
        <f>H37*in_SticksPerBox+H43</f>
        <v/>
      </c>
      <c r="I58" s="43">
        <f>I37*in_SticksPerBox+I43</f>
        <v/>
      </c>
      <c r="J58" s="43">
        <f>J37*in_SticksPerBox+J43</f>
        <v/>
      </c>
      <c r="K58" s="43">
        <f>K37*in_SticksPerBox+K43</f>
        <v/>
      </c>
      <c r="L58" s="43">
        <f>L37*in_SticksPerBox+L43</f>
        <v/>
      </c>
      <c r="M58" s="43">
        <f>M37*in_SticksPerBox+M43</f>
        <v/>
      </c>
      <c r="N58" s="43">
        <f>N37*in_SticksPerBox+N43</f>
        <v/>
      </c>
      <c r="O58" s="43">
        <f>O37*in_SticksPerBox+O43</f>
        <v/>
      </c>
      <c r="P58" s="43">
        <f>P37*in_SticksPerBox+P43</f>
        <v/>
      </c>
      <c r="Q58" s="43">
        <f>Q37*in_SticksPerBox+Q43</f>
        <v/>
      </c>
      <c r="R58" s="44">
        <f>SUM(C58:Q58)</f>
        <v/>
      </c>
    </row>
    <row r="59">
      <c r="A59" s="10" t="inlineStr">
        <is>
          <t>Opening stock</t>
        </is>
      </c>
      <c r="C59" s="43">
        <f>0</f>
        <v/>
      </c>
      <c r="D59" s="43">
        <f>C66</f>
        <v/>
      </c>
      <c r="E59" s="43">
        <f>D66</f>
        <v/>
      </c>
      <c r="F59" s="43">
        <f>E66</f>
        <v/>
      </c>
      <c r="G59" s="43">
        <f>F66</f>
        <v/>
      </c>
      <c r="H59" s="43">
        <f>G66</f>
        <v/>
      </c>
      <c r="I59" s="43">
        <f>H66</f>
        <v/>
      </c>
      <c r="J59" s="43">
        <f>I66</f>
        <v/>
      </c>
      <c r="K59" s="43">
        <f>J66</f>
        <v/>
      </c>
      <c r="L59" s="43">
        <f>K66</f>
        <v/>
      </c>
      <c r="M59" s="43">
        <f>L66</f>
        <v/>
      </c>
      <c r="N59" s="43">
        <f>M66</f>
        <v/>
      </c>
      <c r="O59" s="43">
        <f>N66</f>
        <v/>
      </c>
      <c r="P59" s="43">
        <f>O66</f>
        <v/>
      </c>
      <c r="Q59" s="43">
        <f>P66</f>
        <v/>
      </c>
    </row>
    <row r="60">
      <c r="A60" s="10" t="inlineStr">
        <is>
          <t>First run received</t>
        </is>
      </c>
      <c r="C60" s="43">
        <f>IF(EOMONTH(in_FirstShip,0)=EOMONTH(C$23,0),$B$9,0)</f>
        <v/>
      </c>
      <c r="D60" s="43">
        <f>IF(EOMONTH(in_FirstShip,0)=EOMONTH(D$23,0),$B$9,0)</f>
        <v/>
      </c>
      <c r="E60" s="43">
        <f>IF(EOMONTH(in_FirstShip,0)=EOMONTH(E$23,0),$B$9,0)</f>
        <v/>
      </c>
      <c r="F60" s="43">
        <f>IF(EOMONTH(in_FirstShip,0)=EOMONTH(F$23,0),$B$9,0)</f>
        <v/>
      </c>
      <c r="G60" s="43">
        <f>IF(EOMONTH(in_FirstShip,0)=EOMONTH(G$23,0),$B$9,0)</f>
        <v/>
      </c>
      <c r="H60" s="43">
        <f>IF(EOMONTH(in_FirstShip,0)=EOMONTH(H$23,0),$B$9,0)</f>
        <v/>
      </c>
      <c r="I60" s="43">
        <f>IF(EOMONTH(in_FirstShip,0)=EOMONTH(I$23,0),$B$9,0)</f>
        <v/>
      </c>
      <c r="J60" s="43">
        <f>IF(EOMONTH(in_FirstShip,0)=EOMONTH(J$23,0),$B$9,0)</f>
        <v/>
      </c>
      <c r="K60" s="43">
        <f>IF(EOMONTH(in_FirstShip,0)=EOMONTH(K$23,0),$B$9,0)</f>
        <v/>
      </c>
      <c r="L60" s="43">
        <f>IF(EOMONTH(in_FirstShip,0)=EOMONTH(L$23,0),$B$9,0)</f>
        <v/>
      </c>
      <c r="M60" s="43">
        <f>IF(EOMONTH(in_FirstShip,0)=EOMONTH(M$23,0),$B$9,0)</f>
        <v/>
      </c>
      <c r="N60" s="43">
        <f>IF(EOMONTH(in_FirstShip,0)=EOMONTH(N$23,0),$B$9,0)</f>
        <v/>
      </c>
      <c r="O60" s="43">
        <f>IF(EOMONTH(in_FirstShip,0)=EOMONTH(O$23,0),$B$9,0)</f>
        <v/>
      </c>
      <c r="P60" s="43">
        <f>IF(EOMONTH(in_FirstShip,0)=EOMONTH(P$23,0),$B$9,0)</f>
        <v/>
      </c>
      <c r="Q60" s="43">
        <f>IF(EOMONTH(in_FirstShip,0)=EOMONTH(Q$23,0),$B$9,0)</f>
        <v/>
      </c>
      <c r="R60" s="44">
        <f>SUM(C60:Q60)</f>
        <v/>
      </c>
    </row>
    <row r="61">
      <c r="A61" s="10" t="inlineStr">
        <is>
          <t>Reorders received (placed lead-time months earlier)</t>
        </is>
      </c>
      <c r="C61" s="43">
        <f>IF(in_Lead=1,0,IF(in_Lead=2,0,IF(in_Lead=3,0,0)))</f>
        <v/>
      </c>
      <c r="D61" s="43">
        <f>IF(in_Lead=1,C63,IF(in_Lead=2,0,IF(in_Lead=3,0,0)))</f>
        <v/>
      </c>
      <c r="E61" s="43">
        <f>IF(in_Lead=1,D63,IF(in_Lead=2,C63,IF(in_Lead=3,0,0)))</f>
        <v/>
      </c>
      <c r="F61" s="43">
        <f>IF(in_Lead=1,E63,IF(in_Lead=2,D63,IF(in_Lead=3,C63,0)))</f>
        <v/>
      </c>
      <c r="G61" s="43">
        <f>IF(in_Lead=1,F63,IF(in_Lead=2,E63,IF(in_Lead=3,D63,0)))</f>
        <v/>
      </c>
      <c r="H61" s="43">
        <f>IF(in_Lead=1,G63,IF(in_Lead=2,F63,IF(in_Lead=3,E63,0)))</f>
        <v/>
      </c>
      <c r="I61" s="43">
        <f>IF(in_Lead=1,H63,IF(in_Lead=2,G63,IF(in_Lead=3,F63,0)))</f>
        <v/>
      </c>
      <c r="J61" s="43">
        <f>IF(in_Lead=1,I63,IF(in_Lead=2,H63,IF(in_Lead=3,G63,0)))</f>
        <v/>
      </c>
      <c r="K61" s="43">
        <f>IF(in_Lead=1,J63,IF(in_Lead=2,I63,IF(in_Lead=3,H63,0)))</f>
        <v/>
      </c>
      <c r="L61" s="43">
        <f>IF(in_Lead=1,K63,IF(in_Lead=2,J63,IF(in_Lead=3,I63,0)))</f>
        <v/>
      </c>
      <c r="M61" s="43">
        <f>IF(in_Lead=1,L63,IF(in_Lead=2,K63,IF(in_Lead=3,J63,0)))</f>
        <v/>
      </c>
      <c r="N61" s="43">
        <f>IF(in_Lead=1,M63,IF(in_Lead=2,L63,IF(in_Lead=3,K63,0)))</f>
        <v/>
      </c>
      <c r="O61" s="43">
        <f>IF(in_Lead=1,N63,IF(in_Lead=2,M63,IF(in_Lead=3,L63,0)))</f>
        <v/>
      </c>
      <c r="P61" s="43">
        <f>IF(in_Lead=1,O63,IF(in_Lead=2,N63,IF(in_Lead=3,M63,0)))</f>
        <v/>
      </c>
      <c r="Q61" s="43">
        <f>IF(in_Lead=1,P63,IF(in_Lead=2,O63,IF(in_Lead=3,N63,0)))</f>
        <v/>
      </c>
      <c r="R61" s="44">
        <f>SUM(C61:Q61)</f>
        <v/>
      </c>
    </row>
    <row r="62">
      <c r="A62" s="10" t="inlineStr">
        <is>
          <t>On order, still in transit after this month</t>
        </is>
      </c>
      <c r="C62" s="43">
        <f>IF(in_Lead&gt;=2,0,0)+IF(in_Lead&gt;=3,0,0)</f>
        <v/>
      </c>
      <c r="D62" s="43">
        <f>IF(in_Lead&gt;=2,C63,0)+IF(in_Lead&gt;=3,0,0)</f>
        <v/>
      </c>
      <c r="E62" s="43">
        <f>IF(in_Lead&gt;=2,D63,0)+IF(in_Lead&gt;=3,C63,0)</f>
        <v/>
      </c>
      <c r="F62" s="43">
        <f>IF(in_Lead&gt;=2,E63,0)+IF(in_Lead&gt;=3,D63,0)</f>
        <v/>
      </c>
      <c r="G62" s="43">
        <f>IF(in_Lead&gt;=2,F63,0)+IF(in_Lead&gt;=3,E63,0)</f>
        <v/>
      </c>
      <c r="H62" s="43">
        <f>IF(in_Lead&gt;=2,G63,0)+IF(in_Lead&gt;=3,F63,0)</f>
        <v/>
      </c>
      <c r="I62" s="43">
        <f>IF(in_Lead&gt;=2,H63,0)+IF(in_Lead&gt;=3,G63,0)</f>
        <v/>
      </c>
      <c r="J62" s="43">
        <f>IF(in_Lead&gt;=2,I63,0)+IF(in_Lead&gt;=3,H63,0)</f>
        <v/>
      </c>
      <c r="K62" s="43">
        <f>IF(in_Lead&gt;=2,J63,0)+IF(in_Lead&gt;=3,I63,0)</f>
        <v/>
      </c>
      <c r="L62" s="43">
        <f>IF(in_Lead&gt;=2,K63,0)+IF(in_Lead&gt;=3,J63,0)</f>
        <v/>
      </c>
      <c r="M62" s="43">
        <f>IF(in_Lead&gt;=2,L63,0)+IF(in_Lead&gt;=3,K63,0)</f>
        <v/>
      </c>
      <c r="N62" s="43">
        <f>IF(in_Lead&gt;=2,M63,0)+IF(in_Lead&gt;=3,L63,0)</f>
        <v/>
      </c>
      <c r="O62" s="43">
        <f>IF(in_Lead&gt;=2,N63,0)+IF(in_Lead&gt;=3,M63,0)</f>
        <v/>
      </c>
      <c r="P62" s="43">
        <f>IF(in_Lead&gt;=2,O63,0)+IF(in_Lead&gt;=3,N63,0)</f>
        <v/>
      </c>
      <c r="Q62" s="43">
        <f>IF(in_Lead&gt;=2,P63,0)+IF(in_Lead&gt;=3,O63,0)</f>
        <v/>
      </c>
    </row>
    <row r="63">
      <c r="A63" s="10" t="inlineStr">
        <is>
          <t>Reorder placed and paid</t>
        </is>
      </c>
      <c r="C63" s="43">
        <f>IF(C24=1,IF(C59+C60+C61+C62&lt;C58*in_Cover,ROUNDUP((C58*in_Cover-(C59+C60+C61+C62))/$B$9,0)*$B$9,0),0)</f>
        <v/>
      </c>
      <c r="D63" s="43">
        <f>IF(D24=1,IF(D59+D60+D61+D62&lt;D58*in_Cover,ROUNDUP((D58*in_Cover-(D59+D60+D61+D62))/$B$9,0)*$B$9,0),0)</f>
        <v/>
      </c>
      <c r="E63" s="43">
        <f>IF(E24=1,IF(E59+E60+E61+E62&lt;E58*in_Cover,ROUNDUP((E58*in_Cover-(E59+E60+E61+E62))/$B$9,0)*$B$9,0),0)</f>
        <v/>
      </c>
      <c r="F63" s="43">
        <f>IF(F24=1,IF(F59+F60+F61+F62&lt;F58*in_Cover,ROUNDUP((F58*in_Cover-(F59+F60+F61+F62))/$B$9,0)*$B$9,0),0)</f>
        <v/>
      </c>
      <c r="G63" s="43">
        <f>IF(G24=1,IF(G59+G60+G61+G62&lt;G58*in_Cover,ROUNDUP((G58*in_Cover-(G59+G60+G61+G62))/$B$9,0)*$B$9,0),0)</f>
        <v/>
      </c>
      <c r="H63" s="43">
        <f>IF(H24=1,IF(H59+H60+H61+H62&lt;H58*in_Cover,ROUNDUP((H58*in_Cover-(H59+H60+H61+H62))/$B$9,0)*$B$9,0),0)</f>
        <v/>
      </c>
      <c r="I63" s="43">
        <f>IF(I24=1,IF(I59+I60+I61+I62&lt;I58*in_Cover,ROUNDUP((I58*in_Cover-(I59+I60+I61+I62))/$B$9,0)*$B$9,0),0)</f>
        <v/>
      </c>
      <c r="J63" s="43">
        <f>IF(J24=1,IF(J59+J60+J61+J62&lt;J58*in_Cover,ROUNDUP((J58*in_Cover-(J59+J60+J61+J62))/$B$9,0)*$B$9,0),0)</f>
        <v/>
      </c>
      <c r="K63" s="43">
        <f>IF(K24=1,IF(K59+K60+K61+K62&lt;K58*in_Cover,ROUNDUP((K58*in_Cover-(K59+K60+K61+K62))/$B$9,0)*$B$9,0),0)</f>
        <v/>
      </c>
      <c r="L63" s="43">
        <f>IF(L24=1,IF(L59+L60+L61+L62&lt;L58*in_Cover,ROUNDUP((L58*in_Cover-(L59+L60+L61+L62))/$B$9,0)*$B$9,0),0)</f>
        <v/>
      </c>
      <c r="M63" s="43">
        <f>IF(M24=1,IF(M59+M60+M61+M62&lt;M58*in_Cover,ROUNDUP((M58*in_Cover-(M59+M60+M61+M62))/$B$9,0)*$B$9,0),0)</f>
        <v/>
      </c>
      <c r="N63" s="43">
        <f>IF(N24=1,IF(N59+N60+N61+N62&lt;N58*in_Cover,ROUNDUP((N58*in_Cover-(N59+N60+N61+N62))/$B$9,0)*$B$9,0),0)</f>
        <v/>
      </c>
      <c r="O63" s="43">
        <f>IF(O24=1,IF(O59+O60+O61+O62&lt;O58*in_Cover,ROUNDUP((O58*in_Cover-(O59+O60+O61+O62))/$B$9,0)*$B$9,0),0)</f>
        <v/>
      </c>
      <c r="P63" s="43">
        <f>IF(P24=1,IF(P59+P60+P61+P62&lt;P58*in_Cover,ROUNDUP((P58*in_Cover-(P59+P60+P61+P62))/$B$9,0)*$B$9,0),0)</f>
        <v/>
      </c>
      <c r="Q63" s="43">
        <f>IF(Q24=1,IF(Q59+Q60+Q61+Q62&lt;Q58*in_Cover,ROUNDUP((Q58*in_Cover-(Q59+Q60+Q61+Q62))/$B$9,0)*$B$9,0),0)</f>
        <v/>
      </c>
      <c r="R63" s="44">
        <f>SUM(C63:Q63)</f>
        <v/>
      </c>
    </row>
    <row r="64">
      <c r="A64" s="10" t="inlineStr">
        <is>
          <t>Sticks sold</t>
        </is>
      </c>
      <c r="C64" s="43">
        <f>MIN(C58,C59+C60+C61)</f>
        <v/>
      </c>
      <c r="D64" s="43">
        <f>MIN(D58,D59+D60+D61)</f>
        <v/>
      </c>
      <c r="E64" s="43">
        <f>MIN(E58,E59+E60+E61)</f>
        <v/>
      </c>
      <c r="F64" s="43">
        <f>MIN(F58,F59+F60+F61)</f>
        <v/>
      </c>
      <c r="G64" s="43">
        <f>MIN(G58,G59+G60+G61)</f>
        <v/>
      </c>
      <c r="H64" s="43">
        <f>MIN(H58,H59+H60+H61)</f>
        <v/>
      </c>
      <c r="I64" s="43">
        <f>MIN(I58,I59+I60+I61)</f>
        <v/>
      </c>
      <c r="J64" s="43">
        <f>MIN(J58,J59+J60+J61)</f>
        <v/>
      </c>
      <c r="K64" s="43">
        <f>MIN(K58,K59+K60+K61)</f>
        <v/>
      </c>
      <c r="L64" s="43">
        <f>MIN(L58,L59+L60+L61)</f>
        <v/>
      </c>
      <c r="M64" s="43">
        <f>MIN(M58,M59+M60+M61)</f>
        <v/>
      </c>
      <c r="N64" s="43">
        <f>MIN(N58,N59+N60+N61)</f>
        <v/>
      </c>
      <c r="O64" s="43">
        <f>MIN(O58,O59+O60+O61)</f>
        <v/>
      </c>
      <c r="P64" s="43">
        <f>MIN(P58,P59+P60+P61)</f>
        <v/>
      </c>
      <c r="Q64" s="43">
        <f>MIN(Q58,Q59+Q60+Q61)</f>
        <v/>
      </c>
      <c r="R64" s="44">
        <f>SUM(C64:Q64)</f>
        <v/>
      </c>
    </row>
    <row r="65">
      <c r="A65" s="10" t="inlineStr">
        <is>
          <t>Stick shortfall (check: should be 0)</t>
        </is>
      </c>
      <c r="B65" s="6" t="inlineStr">
        <is>
          <t>Must stay 0</t>
        </is>
      </c>
      <c r="C65" s="43">
        <f>C58-C64</f>
        <v/>
      </c>
      <c r="D65" s="43">
        <f>D58-D64</f>
        <v/>
      </c>
      <c r="E65" s="43">
        <f>E58-E64</f>
        <v/>
      </c>
      <c r="F65" s="43">
        <f>F58-F64</f>
        <v/>
      </c>
      <c r="G65" s="43">
        <f>G58-G64</f>
        <v/>
      </c>
      <c r="H65" s="43">
        <f>H58-H64</f>
        <v/>
      </c>
      <c r="I65" s="43">
        <f>I58-I64</f>
        <v/>
      </c>
      <c r="J65" s="43">
        <f>J58-J64</f>
        <v/>
      </c>
      <c r="K65" s="43">
        <f>K58-K64</f>
        <v/>
      </c>
      <c r="L65" s="43">
        <f>L58-L64</f>
        <v/>
      </c>
      <c r="M65" s="43">
        <f>M58-M64</f>
        <v/>
      </c>
      <c r="N65" s="43">
        <f>N58-N64</f>
        <v/>
      </c>
      <c r="O65" s="43">
        <f>O58-O64</f>
        <v/>
      </c>
      <c r="P65" s="43">
        <f>P58-P64</f>
        <v/>
      </c>
      <c r="Q65" s="43">
        <f>Q58-Q64</f>
        <v/>
      </c>
      <c r="R65" s="44">
        <f>SUM(C65:Q65)</f>
        <v/>
      </c>
    </row>
    <row r="66">
      <c r="A66" s="10" t="inlineStr">
        <is>
          <t>Closing stock</t>
        </is>
      </c>
      <c r="C66" s="43">
        <f>C59+C60+C61-C64</f>
        <v/>
      </c>
      <c r="D66" s="43">
        <f>D59+D60+D61-D64</f>
        <v/>
      </c>
      <c r="E66" s="43">
        <f>E59+E60+E61-E64</f>
        <v/>
      </c>
      <c r="F66" s="43">
        <f>F59+F60+F61-F64</f>
        <v/>
      </c>
      <c r="G66" s="43">
        <f>G59+G60+G61-G64</f>
        <v/>
      </c>
      <c r="H66" s="43">
        <f>H59+H60+H61-H64</f>
        <v/>
      </c>
      <c r="I66" s="43">
        <f>I59+I60+I61-I64</f>
        <v/>
      </c>
      <c r="J66" s="43">
        <f>J59+J60+J61-J64</f>
        <v/>
      </c>
      <c r="K66" s="43">
        <f>K59+K60+K61-K64</f>
        <v/>
      </c>
      <c r="L66" s="43">
        <f>L59+L60+L61-L64</f>
        <v/>
      </c>
      <c r="M66" s="43">
        <f>M59+M60+M61-M64</f>
        <v/>
      </c>
      <c r="N66" s="43">
        <f>N59+N60+N61-N64</f>
        <v/>
      </c>
      <c r="O66" s="43">
        <f>O59+O60+O61-O64</f>
        <v/>
      </c>
      <c r="P66" s="43">
        <f>P59+P60+P61-P64</f>
        <v/>
      </c>
      <c r="Q66" s="43">
        <f>Q59+Q60+Q61-Q64</f>
        <v/>
      </c>
    </row>
    <row r="68">
      <c r="A68" s="7" t="inlineStr">
        <is>
          <t>Cash in</t>
        </is>
      </c>
      <c r="B68" s="8" t="n"/>
      <c r="C68" s="8" t="n"/>
      <c r="D68" s="8" t="n"/>
      <c r="E68" s="8" t="n"/>
      <c r="F68" s="8" t="n"/>
      <c r="G68" s="8" t="n"/>
      <c r="H68" s="8" t="n"/>
      <c r="I68" s="8" t="n"/>
      <c r="J68" s="8" t="n"/>
      <c r="K68" s="8" t="n"/>
      <c r="L68" s="8" t="n"/>
      <c r="M68" s="8" t="n"/>
      <c r="N68" s="8" t="n"/>
      <c r="O68" s="8" t="n"/>
      <c r="P68" s="8" t="n"/>
      <c r="Q68" s="8" t="n"/>
      <c r="R68" s="8" t="n"/>
    </row>
    <row r="69">
      <c r="A69" s="10" t="inlineStr">
        <is>
          <t>DTC one-off pouches</t>
        </is>
      </c>
      <c r="C69" s="45">
        <f>C35*in_PricePouch</f>
        <v/>
      </c>
      <c r="D69" s="45">
        <f>D35*in_PricePouch</f>
        <v/>
      </c>
      <c r="E69" s="45">
        <f>E35*in_PricePouch</f>
        <v/>
      </c>
      <c r="F69" s="45">
        <f>F35*in_PricePouch</f>
        <v/>
      </c>
      <c r="G69" s="45">
        <f>G35*in_PricePouch</f>
        <v/>
      </c>
      <c r="H69" s="45">
        <f>H35*in_PricePouch</f>
        <v/>
      </c>
      <c r="I69" s="45">
        <f>I35*in_PricePouch</f>
        <v/>
      </c>
      <c r="J69" s="45">
        <f>J35*in_PricePouch</f>
        <v/>
      </c>
      <c r="K69" s="45">
        <f>K35*in_PricePouch</f>
        <v/>
      </c>
      <c r="L69" s="45">
        <f>L35*in_PricePouch</f>
        <v/>
      </c>
      <c r="M69" s="45">
        <f>M35*in_PricePouch</f>
        <v/>
      </c>
      <c r="N69" s="45">
        <f>N35*in_PricePouch</f>
        <v/>
      </c>
      <c r="O69" s="45">
        <f>O35*in_PricePouch</f>
        <v/>
      </c>
      <c r="P69" s="45">
        <f>P35*in_PricePouch</f>
        <v/>
      </c>
      <c r="Q69" s="45">
        <f>Q35*in_PricePouch</f>
        <v/>
      </c>
      <c r="R69" s="46">
        <f>SUM(C69:Q69)</f>
        <v/>
      </c>
    </row>
    <row r="70">
      <c r="A70" s="10" t="inlineStr">
        <is>
          <t>DTC subscription pouches</t>
        </is>
      </c>
      <c r="C70" s="45">
        <f>C32*in_PricePouch*(1-in_SubDisc)</f>
        <v/>
      </c>
      <c r="D70" s="45">
        <f>D32*in_PricePouch*(1-in_SubDisc)</f>
        <v/>
      </c>
      <c r="E70" s="45">
        <f>E32*in_PricePouch*(1-in_SubDisc)</f>
        <v/>
      </c>
      <c r="F70" s="45">
        <f>F32*in_PricePouch*(1-in_SubDisc)</f>
        <v/>
      </c>
      <c r="G70" s="45">
        <f>G32*in_PricePouch*(1-in_SubDisc)</f>
        <v/>
      </c>
      <c r="H70" s="45">
        <f>H32*in_PricePouch*(1-in_SubDisc)</f>
        <v/>
      </c>
      <c r="I70" s="45">
        <f>I32*in_PricePouch*(1-in_SubDisc)</f>
        <v/>
      </c>
      <c r="J70" s="45">
        <f>J32*in_PricePouch*(1-in_SubDisc)</f>
        <v/>
      </c>
      <c r="K70" s="45">
        <f>K32*in_PricePouch*(1-in_SubDisc)</f>
        <v/>
      </c>
      <c r="L70" s="45">
        <f>L32*in_PricePouch*(1-in_SubDisc)</f>
        <v/>
      </c>
      <c r="M70" s="45">
        <f>M32*in_PricePouch*(1-in_SubDisc)</f>
        <v/>
      </c>
      <c r="N70" s="45">
        <f>N32*in_PricePouch*(1-in_SubDisc)</f>
        <v/>
      </c>
      <c r="O70" s="45">
        <f>O32*in_PricePouch*(1-in_SubDisc)</f>
        <v/>
      </c>
      <c r="P70" s="45">
        <f>P32*in_PricePouch*(1-in_SubDisc)</f>
        <v/>
      </c>
      <c r="Q70" s="45">
        <f>Q32*in_PricePouch*(1-in_SubDisc)</f>
        <v/>
      </c>
      <c r="R70" s="46">
        <f>SUM(C70:Q70)</f>
        <v/>
      </c>
    </row>
    <row r="71">
      <c r="A71" s="10" t="inlineStr">
        <is>
          <t>Founding offer discount (waitlist first orders)</t>
        </is>
      </c>
      <c r="C71" s="45">
        <f>-C27*in_PricePouch*in_FoundDisc</f>
        <v/>
      </c>
      <c r="D71" s="45">
        <f>-D27*in_PricePouch*in_FoundDisc</f>
        <v/>
      </c>
      <c r="E71" s="45">
        <f>-E27*in_PricePouch*in_FoundDisc</f>
        <v/>
      </c>
      <c r="F71" s="45">
        <f>-F27*in_PricePouch*in_FoundDisc</f>
        <v/>
      </c>
      <c r="G71" s="45">
        <f>-G27*in_PricePouch*in_FoundDisc</f>
        <v/>
      </c>
      <c r="H71" s="45">
        <f>-H27*in_PricePouch*in_FoundDisc</f>
        <v/>
      </c>
      <c r="I71" s="45">
        <f>-I27*in_PricePouch*in_FoundDisc</f>
        <v/>
      </c>
      <c r="J71" s="45">
        <f>-J27*in_PricePouch*in_FoundDisc</f>
        <v/>
      </c>
      <c r="K71" s="45">
        <f>-K27*in_PricePouch*in_FoundDisc</f>
        <v/>
      </c>
      <c r="L71" s="45">
        <f>-L27*in_PricePouch*in_FoundDisc</f>
        <v/>
      </c>
      <c r="M71" s="45">
        <f>-M27*in_PricePouch*in_FoundDisc</f>
        <v/>
      </c>
      <c r="N71" s="45">
        <f>-N27*in_PricePouch*in_FoundDisc</f>
        <v/>
      </c>
      <c r="O71" s="45">
        <f>-O27*in_PricePouch*in_FoundDisc</f>
        <v/>
      </c>
      <c r="P71" s="45">
        <f>-P27*in_PricePouch*in_FoundDisc</f>
        <v/>
      </c>
      <c r="Q71" s="45">
        <f>-Q27*in_PricePouch*in_FoundDisc</f>
        <v/>
      </c>
      <c r="R71" s="46">
        <f>SUM(C71:Q71)</f>
        <v/>
      </c>
    </row>
    <row r="72">
      <c r="A72" s="10" t="inlineStr">
        <is>
          <t>DTC stick boxes</t>
        </is>
      </c>
      <c r="C72" s="45">
        <f>C37*in_PriceStickBox</f>
        <v/>
      </c>
      <c r="D72" s="45">
        <f>D37*in_PriceStickBox</f>
        <v/>
      </c>
      <c r="E72" s="45">
        <f>E37*in_PriceStickBox</f>
        <v/>
      </c>
      <c r="F72" s="45">
        <f>F37*in_PriceStickBox</f>
        <v/>
      </c>
      <c r="G72" s="45">
        <f>G37*in_PriceStickBox</f>
        <v/>
      </c>
      <c r="H72" s="45">
        <f>H37*in_PriceStickBox</f>
        <v/>
      </c>
      <c r="I72" s="45">
        <f>I37*in_PriceStickBox</f>
        <v/>
      </c>
      <c r="J72" s="45">
        <f>J37*in_PriceStickBox</f>
        <v/>
      </c>
      <c r="K72" s="45">
        <f>K37*in_PriceStickBox</f>
        <v/>
      </c>
      <c r="L72" s="45">
        <f>L37*in_PriceStickBox</f>
        <v/>
      </c>
      <c r="M72" s="45">
        <f>M37*in_PriceStickBox</f>
        <v/>
      </c>
      <c r="N72" s="45">
        <f>N37*in_PriceStickBox</f>
        <v/>
      </c>
      <c r="O72" s="45">
        <f>O37*in_PriceStickBox</f>
        <v/>
      </c>
      <c r="P72" s="45">
        <f>P37*in_PriceStickBox</f>
        <v/>
      </c>
      <c r="Q72" s="45">
        <f>Q37*in_PriceStickBox</f>
        <v/>
      </c>
      <c r="R72" s="46">
        <f>SUM(C72:Q72)</f>
        <v/>
      </c>
    </row>
    <row r="73">
      <c r="A73" s="10" t="inlineStr">
        <is>
          <t>Shipping charged to customers</t>
        </is>
      </c>
      <c r="C73" s="45">
        <f>IF(in_FreeShip=1,0,(C36+C37)*in_ShipCharge)</f>
        <v/>
      </c>
      <c r="D73" s="45">
        <f>IF(in_FreeShip=1,0,(D36+D37)*in_ShipCharge)</f>
        <v/>
      </c>
      <c r="E73" s="45">
        <f>IF(in_FreeShip=1,0,(E36+E37)*in_ShipCharge)</f>
        <v/>
      </c>
      <c r="F73" s="45">
        <f>IF(in_FreeShip=1,0,(F36+F37)*in_ShipCharge)</f>
        <v/>
      </c>
      <c r="G73" s="45">
        <f>IF(in_FreeShip=1,0,(G36+G37)*in_ShipCharge)</f>
        <v/>
      </c>
      <c r="H73" s="45">
        <f>IF(in_FreeShip=1,0,(H36+H37)*in_ShipCharge)</f>
        <v/>
      </c>
      <c r="I73" s="45">
        <f>IF(in_FreeShip=1,0,(I36+I37)*in_ShipCharge)</f>
        <v/>
      </c>
      <c r="J73" s="45">
        <f>IF(in_FreeShip=1,0,(J36+J37)*in_ShipCharge)</f>
        <v/>
      </c>
      <c r="K73" s="45">
        <f>IF(in_FreeShip=1,0,(K36+K37)*in_ShipCharge)</f>
        <v/>
      </c>
      <c r="L73" s="45">
        <f>IF(in_FreeShip=1,0,(L36+L37)*in_ShipCharge)</f>
        <v/>
      </c>
      <c r="M73" s="45">
        <f>IF(in_FreeShip=1,0,(M36+M37)*in_ShipCharge)</f>
        <v/>
      </c>
      <c r="N73" s="45">
        <f>IF(in_FreeShip=1,0,(N36+N37)*in_ShipCharge)</f>
        <v/>
      </c>
      <c r="O73" s="45">
        <f>IF(in_FreeShip=1,0,(O36+O37)*in_ShipCharge)</f>
        <v/>
      </c>
      <c r="P73" s="45">
        <f>IF(in_FreeShip=1,0,(P36+P37)*in_ShipCharge)</f>
        <v/>
      </c>
      <c r="Q73" s="45">
        <f>IF(in_FreeShip=1,0,(Q36+Q37)*in_ShipCharge)</f>
        <v/>
      </c>
      <c r="R73" s="46">
        <f>SUM(C73:Q73)</f>
        <v/>
      </c>
    </row>
    <row r="74">
      <c r="A74" s="26" t="inlineStr">
        <is>
          <t>DTC revenue</t>
        </is>
      </c>
      <c r="C74" s="47">
        <f>SUM(C69:C73)</f>
        <v/>
      </c>
      <c r="D74" s="47">
        <f>SUM(D69:D73)</f>
        <v/>
      </c>
      <c r="E74" s="47">
        <f>SUM(E69:E73)</f>
        <v/>
      </c>
      <c r="F74" s="47">
        <f>SUM(F69:F73)</f>
        <v/>
      </c>
      <c r="G74" s="47">
        <f>SUM(G69:G73)</f>
        <v/>
      </c>
      <c r="H74" s="47">
        <f>SUM(H69:H73)</f>
        <v/>
      </c>
      <c r="I74" s="47">
        <f>SUM(I69:I73)</f>
        <v/>
      </c>
      <c r="J74" s="47">
        <f>SUM(J69:J73)</f>
        <v/>
      </c>
      <c r="K74" s="47">
        <f>SUM(K69:K73)</f>
        <v/>
      </c>
      <c r="L74" s="47">
        <f>SUM(L69:L73)</f>
        <v/>
      </c>
      <c r="M74" s="47">
        <f>SUM(M69:M73)</f>
        <v/>
      </c>
      <c r="N74" s="47">
        <f>SUM(N69:N73)</f>
        <v/>
      </c>
      <c r="O74" s="47">
        <f>SUM(O69:O73)</f>
        <v/>
      </c>
      <c r="P74" s="47">
        <f>SUM(P69:P73)</f>
        <v/>
      </c>
      <c r="Q74" s="47">
        <f>SUM(Q69:Q73)</f>
        <v/>
      </c>
      <c r="R74" s="46">
        <f>SUM(C74:Q74)</f>
        <v/>
      </c>
    </row>
    <row r="75">
      <c r="A75" s="10" t="inlineStr">
        <is>
          <t>Wholesale invoiced (pouches + sticks)</t>
        </is>
      </c>
      <c r="C75" s="45">
        <f>C42*in_WsPouch+C43*in_WsStick</f>
        <v/>
      </c>
      <c r="D75" s="45">
        <f>D42*in_WsPouch+D43*in_WsStick</f>
        <v/>
      </c>
      <c r="E75" s="45">
        <f>E42*in_WsPouch+E43*in_WsStick</f>
        <v/>
      </c>
      <c r="F75" s="45">
        <f>F42*in_WsPouch+F43*in_WsStick</f>
        <v/>
      </c>
      <c r="G75" s="45">
        <f>G42*in_WsPouch+G43*in_WsStick</f>
        <v/>
      </c>
      <c r="H75" s="45">
        <f>H42*in_WsPouch+H43*in_WsStick</f>
        <v/>
      </c>
      <c r="I75" s="45">
        <f>I42*in_WsPouch+I43*in_WsStick</f>
        <v/>
      </c>
      <c r="J75" s="45">
        <f>J42*in_WsPouch+J43*in_WsStick</f>
        <v/>
      </c>
      <c r="K75" s="45">
        <f>K42*in_WsPouch+K43*in_WsStick</f>
        <v/>
      </c>
      <c r="L75" s="45">
        <f>L42*in_WsPouch+L43*in_WsStick</f>
        <v/>
      </c>
      <c r="M75" s="45">
        <f>M42*in_WsPouch+M43*in_WsStick</f>
        <v/>
      </c>
      <c r="N75" s="45">
        <f>N42*in_WsPouch+N43*in_WsStick</f>
        <v/>
      </c>
      <c r="O75" s="45">
        <f>O42*in_WsPouch+O43*in_WsStick</f>
        <v/>
      </c>
      <c r="P75" s="45">
        <f>P42*in_WsPouch+P43*in_WsStick</f>
        <v/>
      </c>
      <c r="Q75" s="45">
        <f>Q42*in_WsPouch+Q43*in_WsStick</f>
        <v/>
      </c>
      <c r="R75" s="46">
        <f>SUM(C75:Q75)</f>
        <v/>
      </c>
    </row>
    <row r="76">
      <c r="A76" s="10" t="inlineStr">
        <is>
          <t>Wholesale cash collected</t>
        </is>
      </c>
      <c r="B76" s="6" t="inlineStr">
        <is>
          <t>Net 30 toggle</t>
        </is>
      </c>
      <c r="C76" s="45">
        <f>IF(in_Net30=1,0,C75)</f>
        <v/>
      </c>
      <c r="D76" s="45">
        <f>IF(in_Net30=1,C75,D75)</f>
        <v/>
      </c>
      <c r="E76" s="45">
        <f>IF(in_Net30=1,D75,E75)</f>
        <v/>
      </c>
      <c r="F76" s="45">
        <f>IF(in_Net30=1,E75,F75)</f>
        <v/>
      </c>
      <c r="G76" s="45">
        <f>IF(in_Net30=1,F75,G75)</f>
        <v/>
      </c>
      <c r="H76" s="45">
        <f>IF(in_Net30=1,G75,H75)</f>
        <v/>
      </c>
      <c r="I76" s="45">
        <f>IF(in_Net30=1,H75,I75)</f>
        <v/>
      </c>
      <c r="J76" s="45">
        <f>IF(in_Net30=1,I75,J75)</f>
        <v/>
      </c>
      <c r="K76" s="45">
        <f>IF(in_Net30=1,J75,K75)</f>
        <v/>
      </c>
      <c r="L76" s="45">
        <f>IF(in_Net30=1,K75,L75)</f>
        <v/>
      </c>
      <c r="M76" s="45">
        <f>IF(in_Net30=1,L75,M75)</f>
        <v/>
      </c>
      <c r="N76" s="45">
        <f>IF(in_Net30=1,M75,N75)</f>
        <v/>
      </c>
      <c r="O76" s="45">
        <f>IF(in_Net30=1,N75,O75)</f>
        <v/>
      </c>
      <c r="P76" s="45">
        <f>IF(in_Net30=1,O75,P75)</f>
        <v/>
      </c>
      <c r="Q76" s="45">
        <f>IF(in_Net30=1,P75,Q75)</f>
        <v/>
      </c>
      <c r="R76" s="46">
        <f>SUM(C76:Q76)</f>
        <v/>
      </c>
    </row>
    <row r="77">
      <c r="A77" s="26" t="inlineStr">
        <is>
          <t>Total cash in</t>
        </is>
      </c>
      <c r="C77" s="47">
        <f>C74+C76</f>
        <v/>
      </c>
      <c r="D77" s="47">
        <f>D74+D76</f>
        <v/>
      </c>
      <c r="E77" s="47">
        <f>E74+E76</f>
        <v/>
      </c>
      <c r="F77" s="47">
        <f>F74+F76</f>
        <v/>
      </c>
      <c r="G77" s="47">
        <f>G74+G76</f>
        <v/>
      </c>
      <c r="H77" s="47">
        <f>H74+H76</f>
        <v/>
      </c>
      <c r="I77" s="47">
        <f>I74+I76</f>
        <v/>
      </c>
      <c r="J77" s="47">
        <f>J74+J76</f>
        <v/>
      </c>
      <c r="K77" s="47">
        <f>K74+K76</f>
        <v/>
      </c>
      <c r="L77" s="47">
        <f>L74+L76</f>
        <v/>
      </c>
      <c r="M77" s="47">
        <f>M74+M76</f>
        <v/>
      </c>
      <c r="N77" s="47">
        <f>N74+N76</f>
        <v/>
      </c>
      <c r="O77" s="47">
        <f>O74+O76</f>
        <v/>
      </c>
      <c r="P77" s="47">
        <f>P74+P76</f>
        <v/>
      </c>
      <c r="Q77" s="47">
        <f>Q74+Q76</f>
        <v/>
      </c>
      <c r="R77" s="46">
        <f>SUM(C77:Q77)</f>
        <v/>
      </c>
    </row>
    <row r="79">
      <c r="A79" s="7" t="inlineStr">
        <is>
          <t>Inventory purchases (cash out)</t>
        </is>
      </c>
      <c r="B79" s="8" t="n"/>
      <c r="C79" s="8" t="n"/>
      <c r="D79" s="8" t="n"/>
      <c r="E79" s="8" t="n"/>
      <c r="F79" s="8" t="n"/>
      <c r="G79" s="8" t="n"/>
      <c r="H79" s="8" t="n"/>
      <c r="I79" s="8" t="n"/>
      <c r="J79" s="8" t="n"/>
      <c r="K79" s="8" t="n"/>
      <c r="L79" s="8" t="n"/>
      <c r="M79" s="8" t="n"/>
      <c r="N79" s="8" t="n"/>
      <c r="O79" s="8" t="n"/>
      <c r="P79" s="8" t="n"/>
      <c r="Q79" s="8" t="n"/>
      <c r="R79" s="8" t="n"/>
    </row>
    <row r="80">
      <c r="A80" s="10" t="inlineStr">
        <is>
          <t>First pouch run (deposit, then balance; less sample credit)</t>
        </is>
      </c>
      <c r="B80" s="6" t="inlineStr">
        <is>
          <t>Mode-dependent</t>
        </is>
      </c>
      <c r="C80" s="45">
        <f>$B$8*$B$6*(IF(EOMONTH(in_PODate,0)=EOMONTH(C$23,0),in_Deposit,0)+IF(EOMONTH(in_BalanceDate,0)=EOMONTH(C$23,0),1-in_Deposit,0))-IF(EOMONTH(in_PODate,0)=EOMONTH(C$23,0),$B$10,0)</f>
        <v/>
      </c>
      <c r="D80" s="45">
        <f>$B$8*$B$6*(IF(EOMONTH(in_PODate,0)=EOMONTH(D$23,0),in_Deposit,0)+IF(EOMONTH(in_BalanceDate,0)=EOMONTH(D$23,0),1-in_Deposit,0))-IF(EOMONTH(in_PODate,0)=EOMONTH(D$23,0),$B$10,0)</f>
        <v/>
      </c>
      <c r="E80" s="45">
        <f>$B$8*$B$6*(IF(EOMONTH(in_PODate,0)=EOMONTH(E$23,0),in_Deposit,0)+IF(EOMONTH(in_BalanceDate,0)=EOMONTH(E$23,0),1-in_Deposit,0))-IF(EOMONTH(in_PODate,0)=EOMONTH(E$23,0),$B$10,0)</f>
        <v/>
      </c>
      <c r="F80" s="45">
        <f>$B$8*$B$6*(IF(EOMONTH(in_PODate,0)=EOMONTH(F$23,0),in_Deposit,0)+IF(EOMONTH(in_BalanceDate,0)=EOMONTH(F$23,0),1-in_Deposit,0))-IF(EOMONTH(in_PODate,0)=EOMONTH(F$23,0),$B$10,0)</f>
        <v/>
      </c>
      <c r="G80" s="45">
        <f>$B$8*$B$6*(IF(EOMONTH(in_PODate,0)=EOMONTH(G$23,0),in_Deposit,0)+IF(EOMONTH(in_BalanceDate,0)=EOMONTH(G$23,0),1-in_Deposit,0))-IF(EOMONTH(in_PODate,0)=EOMONTH(G$23,0),$B$10,0)</f>
        <v/>
      </c>
      <c r="H80" s="45">
        <f>$B$8*$B$6*(IF(EOMONTH(in_PODate,0)=EOMONTH(H$23,0),in_Deposit,0)+IF(EOMONTH(in_BalanceDate,0)=EOMONTH(H$23,0),1-in_Deposit,0))-IF(EOMONTH(in_PODate,0)=EOMONTH(H$23,0),$B$10,0)</f>
        <v/>
      </c>
      <c r="I80" s="45">
        <f>$B$8*$B$6*(IF(EOMONTH(in_PODate,0)=EOMONTH(I$23,0),in_Deposit,0)+IF(EOMONTH(in_BalanceDate,0)=EOMONTH(I$23,0),1-in_Deposit,0))-IF(EOMONTH(in_PODate,0)=EOMONTH(I$23,0),$B$10,0)</f>
        <v/>
      </c>
      <c r="J80" s="45">
        <f>$B$8*$B$6*(IF(EOMONTH(in_PODate,0)=EOMONTH(J$23,0),in_Deposit,0)+IF(EOMONTH(in_BalanceDate,0)=EOMONTH(J$23,0),1-in_Deposit,0))-IF(EOMONTH(in_PODate,0)=EOMONTH(J$23,0),$B$10,0)</f>
        <v/>
      </c>
      <c r="K80" s="45">
        <f>$B$8*$B$6*(IF(EOMONTH(in_PODate,0)=EOMONTH(K$23,0),in_Deposit,0)+IF(EOMONTH(in_BalanceDate,0)=EOMONTH(K$23,0),1-in_Deposit,0))-IF(EOMONTH(in_PODate,0)=EOMONTH(K$23,0),$B$10,0)</f>
        <v/>
      </c>
      <c r="L80" s="45">
        <f>$B$8*$B$6*(IF(EOMONTH(in_PODate,0)=EOMONTH(L$23,0),in_Deposit,0)+IF(EOMONTH(in_BalanceDate,0)=EOMONTH(L$23,0),1-in_Deposit,0))-IF(EOMONTH(in_PODate,0)=EOMONTH(L$23,0),$B$10,0)</f>
        <v/>
      </c>
      <c r="M80" s="45">
        <f>$B$8*$B$6*(IF(EOMONTH(in_PODate,0)=EOMONTH(M$23,0),in_Deposit,0)+IF(EOMONTH(in_BalanceDate,0)=EOMONTH(M$23,0),1-in_Deposit,0))-IF(EOMONTH(in_PODate,0)=EOMONTH(M$23,0),$B$10,0)</f>
        <v/>
      </c>
      <c r="N80" s="45">
        <f>$B$8*$B$6*(IF(EOMONTH(in_PODate,0)=EOMONTH(N$23,0),in_Deposit,0)+IF(EOMONTH(in_BalanceDate,0)=EOMONTH(N$23,0),1-in_Deposit,0))-IF(EOMONTH(in_PODate,0)=EOMONTH(N$23,0),$B$10,0)</f>
        <v/>
      </c>
      <c r="O80" s="45">
        <f>$B$8*$B$6*(IF(EOMONTH(in_PODate,0)=EOMONTH(O$23,0),in_Deposit,0)+IF(EOMONTH(in_BalanceDate,0)=EOMONTH(O$23,0),1-in_Deposit,0))-IF(EOMONTH(in_PODate,0)=EOMONTH(O$23,0),$B$10,0)</f>
        <v/>
      </c>
      <c r="P80" s="45">
        <f>$B$8*$B$6*(IF(EOMONTH(in_PODate,0)=EOMONTH(P$23,0),in_Deposit,0)+IF(EOMONTH(in_BalanceDate,0)=EOMONTH(P$23,0),1-in_Deposit,0))-IF(EOMONTH(in_PODate,0)=EOMONTH(P$23,0),$B$10,0)</f>
        <v/>
      </c>
      <c r="Q80" s="45">
        <f>$B$8*$B$6*(IF(EOMONTH(in_PODate,0)=EOMONTH(Q$23,0),in_Deposit,0)+IF(EOMONTH(in_BalanceDate,0)=EOMONTH(Q$23,0),1-in_Deposit,0))-IF(EOMONTH(in_PODate,0)=EOMONTH(Q$23,0),$B$10,0)</f>
        <v/>
      </c>
      <c r="R80" s="46">
        <f>SUM(C80:Q80)</f>
        <v/>
      </c>
    </row>
    <row r="81">
      <c r="A81" s="10" t="inlineStr">
        <is>
          <t>First protein stick run (deposit, then balance)</t>
        </is>
      </c>
      <c r="C81" s="45">
        <f>$B$9*$B$7*(IF(EOMONTH(in_PODate,0)=EOMONTH(C$23,0),in_Deposit,0)+IF(EOMONTH(in_BalanceDate,0)=EOMONTH(C$23,0),1-in_Deposit,0))</f>
        <v/>
      </c>
      <c r="D81" s="45">
        <f>$B$9*$B$7*(IF(EOMONTH(in_PODate,0)=EOMONTH(D$23,0),in_Deposit,0)+IF(EOMONTH(in_BalanceDate,0)=EOMONTH(D$23,0),1-in_Deposit,0))</f>
        <v/>
      </c>
      <c r="E81" s="45">
        <f>$B$9*$B$7*(IF(EOMONTH(in_PODate,0)=EOMONTH(E$23,0),in_Deposit,0)+IF(EOMONTH(in_BalanceDate,0)=EOMONTH(E$23,0),1-in_Deposit,0))</f>
        <v/>
      </c>
      <c r="F81" s="45">
        <f>$B$9*$B$7*(IF(EOMONTH(in_PODate,0)=EOMONTH(F$23,0),in_Deposit,0)+IF(EOMONTH(in_BalanceDate,0)=EOMONTH(F$23,0),1-in_Deposit,0))</f>
        <v/>
      </c>
      <c r="G81" s="45">
        <f>$B$9*$B$7*(IF(EOMONTH(in_PODate,0)=EOMONTH(G$23,0),in_Deposit,0)+IF(EOMONTH(in_BalanceDate,0)=EOMONTH(G$23,0),1-in_Deposit,0))</f>
        <v/>
      </c>
      <c r="H81" s="45">
        <f>$B$9*$B$7*(IF(EOMONTH(in_PODate,0)=EOMONTH(H$23,0),in_Deposit,0)+IF(EOMONTH(in_BalanceDate,0)=EOMONTH(H$23,0),1-in_Deposit,0))</f>
        <v/>
      </c>
      <c r="I81" s="45">
        <f>$B$9*$B$7*(IF(EOMONTH(in_PODate,0)=EOMONTH(I$23,0),in_Deposit,0)+IF(EOMONTH(in_BalanceDate,0)=EOMONTH(I$23,0),1-in_Deposit,0))</f>
        <v/>
      </c>
      <c r="J81" s="45">
        <f>$B$9*$B$7*(IF(EOMONTH(in_PODate,0)=EOMONTH(J$23,0),in_Deposit,0)+IF(EOMONTH(in_BalanceDate,0)=EOMONTH(J$23,0),1-in_Deposit,0))</f>
        <v/>
      </c>
      <c r="K81" s="45">
        <f>$B$9*$B$7*(IF(EOMONTH(in_PODate,0)=EOMONTH(K$23,0),in_Deposit,0)+IF(EOMONTH(in_BalanceDate,0)=EOMONTH(K$23,0),1-in_Deposit,0))</f>
        <v/>
      </c>
      <c r="L81" s="45">
        <f>$B$9*$B$7*(IF(EOMONTH(in_PODate,0)=EOMONTH(L$23,0),in_Deposit,0)+IF(EOMONTH(in_BalanceDate,0)=EOMONTH(L$23,0),1-in_Deposit,0))</f>
        <v/>
      </c>
      <c r="M81" s="45">
        <f>$B$9*$B$7*(IF(EOMONTH(in_PODate,0)=EOMONTH(M$23,0),in_Deposit,0)+IF(EOMONTH(in_BalanceDate,0)=EOMONTH(M$23,0),1-in_Deposit,0))</f>
        <v/>
      </c>
      <c r="N81" s="45">
        <f>$B$9*$B$7*(IF(EOMONTH(in_PODate,0)=EOMONTH(N$23,0),in_Deposit,0)+IF(EOMONTH(in_BalanceDate,0)=EOMONTH(N$23,0),1-in_Deposit,0))</f>
        <v/>
      </c>
      <c r="O81" s="45">
        <f>$B$9*$B$7*(IF(EOMONTH(in_PODate,0)=EOMONTH(O$23,0),in_Deposit,0)+IF(EOMONTH(in_BalanceDate,0)=EOMONTH(O$23,0),1-in_Deposit,0))</f>
        <v/>
      </c>
      <c r="P81" s="45">
        <f>$B$9*$B$7*(IF(EOMONTH(in_PODate,0)=EOMONTH(P$23,0),in_Deposit,0)+IF(EOMONTH(in_BalanceDate,0)=EOMONTH(P$23,0),1-in_Deposit,0))</f>
        <v/>
      </c>
      <c r="Q81" s="45">
        <f>$B$9*$B$7*(IF(EOMONTH(in_PODate,0)=EOMONTH(Q$23,0),in_Deposit,0)+IF(EOMONTH(in_BalanceDate,0)=EOMONTH(Q$23,0),1-in_Deposit,0))</f>
        <v/>
      </c>
      <c r="R81" s="46">
        <f>SUM(C81:Q81)</f>
        <v/>
      </c>
    </row>
    <row r="82">
      <c r="A82" s="10" t="inlineStr">
        <is>
          <t>Second flavour first run</t>
        </is>
      </c>
      <c r="C82" s="45">
        <f>C49*$B$6</f>
        <v/>
      </c>
      <c r="D82" s="45">
        <f>D49*$B$6</f>
        <v/>
      </c>
      <c r="E82" s="45">
        <f>E49*$B$6</f>
        <v/>
      </c>
      <c r="F82" s="45">
        <f>F49*$B$6</f>
        <v/>
      </c>
      <c r="G82" s="45">
        <f>G49*$B$6</f>
        <v/>
      </c>
      <c r="H82" s="45">
        <f>H49*$B$6</f>
        <v/>
      </c>
      <c r="I82" s="45">
        <f>I49*$B$6</f>
        <v/>
      </c>
      <c r="J82" s="45">
        <f>J49*$B$6</f>
        <v/>
      </c>
      <c r="K82" s="45">
        <f>K49*$B$6</f>
        <v/>
      </c>
      <c r="L82" s="45">
        <f>L49*$B$6</f>
        <v/>
      </c>
      <c r="M82" s="45">
        <f>M49*$B$6</f>
        <v/>
      </c>
      <c r="N82" s="45">
        <f>N49*$B$6</f>
        <v/>
      </c>
      <c r="O82" s="45">
        <f>O49*$B$6</f>
        <v/>
      </c>
      <c r="P82" s="45">
        <f>P49*$B$6</f>
        <v/>
      </c>
      <c r="Q82" s="45">
        <f>Q49*$B$6</f>
        <v/>
      </c>
      <c r="R82" s="46">
        <f>SUM(C82:Q82)</f>
        <v/>
      </c>
    </row>
    <row r="83">
      <c r="A83" s="10" t="inlineStr">
        <is>
          <t>Reorders placed (pouches and sticks, paid in full when placed)</t>
        </is>
      </c>
      <c r="C83" s="45">
        <f>C52*$B$6+C63*$B$7</f>
        <v/>
      </c>
      <c r="D83" s="45">
        <f>D52*$B$6+D63*$B$7</f>
        <v/>
      </c>
      <c r="E83" s="45">
        <f>E52*$B$6+E63*$B$7</f>
        <v/>
      </c>
      <c r="F83" s="45">
        <f>F52*$B$6+F63*$B$7</f>
        <v/>
      </c>
      <c r="G83" s="45">
        <f>G52*$B$6+G63*$B$7</f>
        <v/>
      </c>
      <c r="H83" s="45">
        <f>H52*$B$6+H63*$B$7</f>
        <v/>
      </c>
      <c r="I83" s="45">
        <f>I52*$B$6+I63*$B$7</f>
        <v/>
      </c>
      <c r="J83" s="45">
        <f>J52*$B$6+J63*$B$7</f>
        <v/>
      </c>
      <c r="K83" s="45">
        <f>K52*$B$6+K63*$B$7</f>
        <v/>
      </c>
      <c r="L83" s="45">
        <f>L52*$B$6+L63*$B$7</f>
        <v/>
      </c>
      <c r="M83" s="45">
        <f>M52*$B$6+M63*$B$7</f>
        <v/>
      </c>
      <c r="N83" s="45">
        <f>N52*$B$6+N63*$B$7</f>
        <v/>
      </c>
      <c r="O83" s="45">
        <f>O52*$B$6+O63*$B$7</f>
        <v/>
      </c>
      <c r="P83" s="45">
        <f>P52*$B$6+P63*$B$7</f>
        <v/>
      </c>
      <c r="Q83" s="45">
        <f>Q52*$B$6+Q63*$B$7</f>
        <v/>
      </c>
      <c r="R83" s="46">
        <f>SUM(C83:Q83)</f>
        <v/>
      </c>
    </row>
    <row r="84">
      <c r="A84" s="26" t="inlineStr">
        <is>
          <t>Total inventory purchases</t>
        </is>
      </c>
      <c r="C84" s="47">
        <f>SUM(C80:C83)</f>
        <v/>
      </c>
      <c r="D84" s="47">
        <f>SUM(D80:D83)</f>
        <v/>
      </c>
      <c r="E84" s="47">
        <f>SUM(E80:E83)</f>
        <v/>
      </c>
      <c r="F84" s="47">
        <f>SUM(F80:F83)</f>
        <v/>
      </c>
      <c r="G84" s="47">
        <f>SUM(G80:G83)</f>
        <v/>
      </c>
      <c r="H84" s="47">
        <f>SUM(H80:H83)</f>
        <v/>
      </c>
      <c r="I84" s="47">
        <f>SUM(I80:I83)</f>
        <v/>
      </c>
      <c r="J84" s="47">
        <f>SUM(J80:J83)</f>
        <v/>
      </c>
      <c r="K84" s="47">
        <f>SUM(K80:K83)</f>
        <v/>
      </c>
      <c r="L84" s="47">
        <f>SUM(L80:L83)</f>
        <v/>
      </c>
      <c r="M84" s="47">
        <f>SUM(M80:M83)</f>
        <v/>
      </c>
      <c r="N84" s="47">
        <f>SUM(N80:N83)</f>
        <v/>
      </c>
      <c r="O84" s="47">
        <f>SUM(O80:O83)</f>
        <v/>
      </c>
      <c r="P84" s="47">
        <f>SUM(P80:P83)</f>
        <v/>
      </c>
      <c r="Q84" s="47">
        <f>SUM(Q80:Q83)</f>
        <v/>
      </c>
      <c r="R84" s="46">
        <f>SUM(C84:Q84)</f>
        <v/>
      </c>
    </row>
    <row r="86">
      <c r="A86" s="7" t="inlineStr">
        <is>
          <t>Variable costs (cash out)</t>
        </is>
      </c>
      <c r="B86" s="8" t="n"/>
      <c r="C86" s="8" t="n"/>
      <c r="D86" s="8" t="n"/>
      <c r="E86" s="8" t="n"/>
      <c r="F86" s="8" t="n"/>
      <c r="G86" s="8" t="n"/>
      <c r="H86" s="8" t="n"/>
      <c r="I86" s="8" t="n"/>
      <c r="J86" s="8" t="n"/>
      <c r="K86" s="8" t="n"/>
      <c r="L86" s="8" t="n"/>
      <c r="M86" s="8" t="n"/>
      <c r="N86" s="8" t="n"/>
      <c r="O86" s="8" t="n"/>
      <c r="P86" s="8" t="n"/>
      <c r="Q86" s="8" t="n"/>
      <c r="R86" s="8" t="n"/>
    </row>
    <row r="87">
      <c r="A87" s="10" t="inlineStr">
        <is>
          <t>DTC shipping and packing</t>
        </is>
      </c>
      <c r="C87" s="45">
        <f>(C36+C37)*in_ShipOrder</f>
        <v/>
      </c>
      <c r="D87" s="45">
        <f>(D36+D37)*in_ShipOrder</f>
        <v/>
      </c>
      <c r="E87" s="45">
        <f>(E36+E37)*in_ShipOrder</f>
        <v/>
      </c>
      <c r="F87" s="45">
        <f>(F36+F37)*in_ShipOrder</f>
        <v/>
      </c>
      <c r="G87" s="45">
        <f>(G36+G37)*in_ShipOrder</f>
        <v/>
      </c>
      <c r="H87" s="45">
        <f>(H36+H37)*in_ShipOrder</f>
        <v/>
      </c>
      <c r="I87" s="45">
        <f>(I36+I37)*in_ShipOrder</f>
        <v/>
      </c>
      <c r="J87" s="45">
        <f>(J36+J37)*in_ShipOrder</f>
        <v/>
      </c>
      <c r="K87" s="45">
        <f>(K36+K37)*in_ShipOrder</f>
        <v/>
      </c>
      <c r="L87" s="45">
        <f>(L36+L37)*in_ShipOrder</f>
        <v/>
      </c>
      <c r="M87" s="45">
        <f>(M36+M37)*in_ShipOrder</f>
        <v/>
      </c>
      <c r="N87" s="45">
        <f>(N36+N37)*in_ShipOrder</f>
        <v/>
      </c>
      <c r="O87" s="45">
        <f>(O36+O37)*in_ShipOrder</f>
        <v/>
      </c>
      <c r="P87" s="45">
        <f>(P36+P37)*in_ShipOrder</f>
        <v/>
      </c>
      <c r="Q87" s="45">
        <f>(Q36+Q37)*in_ShipOrder</f>
        <v/>
      </c>
      <c r="R87" s="46">
        <f>SUM(C87:Q87)</f>
        <v/>
      </c>
    </row>
    <row r="88">
      <c r="A88" s="10" t="inlineStr">
        <is>
          <t>Freight to stores</t>
        </is>
      </c>
      <c r="C88" s="45">
        <f>C42*in_FreightPouch+C43*in_FreightStick</f>
        <v/>
      </c>
      <c r="D88" s="45">
        <f>D42*in_FreightPouch+D43*in_FreightStick</f>
        <v/>
      </c>
      <c r="E88" s="45">
        <f>E42*in_FreightPouch+E43*in_FreightStick</f>
        <v/>
      </c>
      <c r="F88" s="45">
        <f>F42*in_FreightPouch+F43*in_FreightStick</f>
        <v/>
      </c>
      <c r="G88" s="45">
        <f>G42*in_FreightPouch+G43*in_FreightStick</f>
        <v/>
      </c>
      <c r="H88" s="45">
        <f>H42*in_FreightPouch+H43*in_FreightStick</f>
        <v/>
      </c>
      <c r="I88" s="45">
        <f>I42*in_FreightPouch+I43*in_FreightStick</f>
        <v/>
      </c>
      <c r="J88" s="45">
        <f>J42*in_FreightPouch+J43*in_FreightStick</f>
        <v/>
      </c>
      <c r="K88" s="45">
        <f>K42*in_FreightPouch+K43*in_FreightStick</f>
        <v/>
      </c>
      <c r="L88" s="45">
        <f>L42*in_FreightPouch+L43*in_FreightStick</f>
        <v/>
      </c>
      <c r="M88" s="45">
        <f>M42*in_FreightPouch+M43*in_FreightStick</f>
        <v/>
      </c>
      <c r="N88" s="45">
        <f>N42*in_FreightPouch+N43*in_FreightStick</f>
        <v/>
      </c>
      <c r="O88" s="45">
        <f>O42*in_FreightPouch+O43*in_FreightStick</f>
        <v/>
      </c>
      <c r="P88" s="45">
        <f>P42*in_FreightPouch+P43*in_FreightStick</f>
        <v/>
      </c>
      <c r="Q88" s="45">
        <f>Q42*in_FreightPouch+Q43*in_FreightStick</f>
        <v/>
      </c>
      <c r="R88" s="46">
        <f>SUM(C88:Q88)</f>
        <v/>
      </c>
    </row>
    <row r="89">
      <c r="A89" s="10" t="inlineStr">
        <is>
          <t>Card fees</t>
        </is>
      </c>
      <c r="C89" s="45">
        <f>C74*in_CardPct+(C36+C37)*in_CardFixed</f>
        <v/>
      </c>
      <c r="D89" s="45">
        <f>D74*in_CardPct+(D36+D37)*in_CardFixed</f>
        <v/>
      </c>
      <c r="E89" s="45">
        <f>E74*in_CardPct+(E36+E37)*in_CardFixed</f>
        <v/>
      </c>
      <c r="F89" s="45">
        <f>F74*in_CardPct+(F36+F37)*in_CardFixed</f>
        <v/>
      </c>
      <c r="G89" s="45">
        <f>G74*in_CardPct+(G36+G37)*in_CardFixed</f>
        <v/>
      </c>
      <c r="H89" s="45">
        <f>H74*in_CardPct+(H36+H37)*in_CardFixed</f>
        <v/>
      </c>
      <c r="I89" s="45">
        <f>I74*in_CardPct+(I36+I37)*in_CardFixed</f>
        <v/>
      </c>
      <c r="J89" s="45">
        <f>J74*in_CardPct+(J36+J37)*in_CardFixed</f>
        <v/>
      </c>
      <c r="K89" s="45">
        <f>K74*in_CardPct+(K36+K37)*in_CardFixed</f>
        <v/>
      </c>
      <c r="L89" s="45">
        <f>L74*in_CardPct+(L36+L37)*in_CardFixed</f>
        <v/>
      </c>
      <c r="M89" s="45">
        <f>M74*in_CardPct+(M36+M37)*in_CardFixed</f>
        <v/>
      </c>
      <c r="N89" s="45">
        <f>N74*in_CardPct+(N36+N37)*in_CardFixed</f>
        <v/>
      </c>
      <c r="O89" s="45">
        <f>O74*in_CardPct+(O36+O37)*in_CardFixed</f>
        <v/>
      </c>
      <c r="P89" s="45">
        <f>P74*in_CardPct+(P36+P37)*in_CardFixed</f>
        <v/>
      </c>
      <c r="Q89" s="45">
        <f>Q74*in_CardPct+(Q36+Q37)*in_CardFixed</f>
        <v/>
      </c>
      <c r="R89" s="46">
        <f>SUM(C89:Q89)</f>
        <v/>
      </c>
    </row>
    <row r="90">
      <c r="A90" s="10" t="inlineStr">
        <is>
          <t>Founding offer free shakers</t>
        </is>
      </c>
      <c r="C90" s="45">
        <f>C27*in_ShakerCost</f>
        <v/>
      </c>
      <c r="D90" s="45">
        <f>D27*in_ShakerCost</f>
        <v/>
      </c>
      <c r="E90" s="45">
        <f>E27*in_ShakerCost</f>
        <v/>
      </c>
      <c r="F90" s="45">
        <f>F27*in_ShakerCost</f>
        <v/>
      </c>
      <c r="G90" s="45">
        <f>G27*in_ShakerCost</f>
        <v/>
      </c>
      <c r="H90" s="45">
        <f>H27*in_ShakerCost</f>
        <v/>
      </c>
      <c r="I90" s="45">
        <f>I27*in_ShakerCost</f>
        <v/>
      </c>
      <c r="J90" s="45">
        <f>J27*in_ShakerCost</f>
        <v/>
      </c>
      <c r="K90" s="45">
        <f>K27*in_ShakerCost</f>
        <v/>
      </c>
      <c r="L90" s="45">
        <f>L27*in_ShakerCost</f>
        <v/>
      </c>
      <c r="M90" s="45">
        <f>M27*in_ShakerCost</f>
        <v/>
      </c>
      <c r="N90" s="45">
        <f>N27*in_ShakerCost</f>
        <v/>
      </c>
      <c r="O90" s="45">
        <f>O27*in_ShakerCost</f>
        <v/>
      </c>
      <c r="P90" s="45">
        <f>P27*in_ShakerCost</f>
        <v/>
      </c>
      <c r="Q90" s="45">
        <f>Q27*in_ShakerCost</f>
        <v/>
      </c>
      <c r="R90" s="46">
        <f>SUM(C90:Q90)</f>
        <v/>
      </c>
    </row>
    <row r="91">
      <c r="A91" s="26" t="inlineStr">
        <is>
          <t>Total variable costs</t>
        </is>
      </c>
      <c r="C91" s="47">
        <f>SUM(C87:C90)</f>
        <v/>
      </c>
      <c r="D91" s="47">
        <f>SUM(D87:D90)</f>
        <v/>
      </c>
      <c r="E91" s="47">
        <f>SUM(E87:E90)</f>
        <v/>
      </c>
      <c r="F91" s="47">
        <f>SUM(F87:F90)</f>
        <v/>
      </c>
      <c r="G91" s="47">
        <f>SUM(G87:G90)</f>
        <v/>
      </c>
      <c r="H91" s="47">
        <f>SUM(H87:H90)</f>
        <v/>
      </c>
      <c r="I91" s="47">
        <f>SUM(I87:I90)</f>
        <v/>
      </c>
      <c r="J91" s="47">
        <f>SUM(J87:J90)</f>
        <v/>
      </c>
      <c r="K91" s="47">
        <f>SUM(K87:K90)</f>
        <v/>
      </c>
      <c r="L91" s="47">
        <f>SUM(L87:L90)</f>
        <v/>
      </c>
      <c r="M91" s="47">
        <f>SUM(M87:M90)</f>
        <v/>
      </c>
      <c r="N91" s="47">
        <f>SUM(N87:N90)</f>
        <v/>
      </c>
      <c r="O91" s="47">
        <f>SUM(O87:O90)</f>
        <v/>
      </c>
      <c r="P91" s="47">
        <f>SUM(P87:P90)</f>
        <v/>
      </c>
      <c r="Q91" s="47">
        <f>SUM(Q87:Q90)</f>
        <v/>
      </c>
      <c r="R91" s="46">
        <f>SUM(C91:Q91)</f>
        <v/>
      </c>
    </row>
    <row r="93">
      <c r="A93" s="7" t="inlineStr">
        <is>
          <t>Marketing (cash out)</t>
        </is>
      </c>
      <c r="B93" s="8" t="n"/>
      <c r="C93" s="8" t="n"/>
      <c r="D93" s="8" t="n"/>
      <c r="E93" s="8" t="n"/>
      <c r="F93" s="8" t="n"/>
      <c r="G93" s="8" t="n"/>
      <c r="H93" s="8" t="n"/>
      <c r="I93" s="8" t="n"/>
      <c r="J93" s="8" t="n"/>
      <c r="K93" s="8" t="n"/>
      <c r="L93" s="8" t="n"/>
      <c r="M93" s="8" t="n"/>
      <c r="N93" s="8" t="n"/>
      <c r="O93" s="8" t="n"/>
      <c r="P93" s="8" t="n"/>
      <c r="Q93" s="8" t="n"/>
      <c r="R93" s="8" t="n"/>
    </row>
    <row r="94">
      <c r="A94" s="10" t="inlineStr">
        <is>
          <t>Paid acquisition (paid new customers x CAC)</t>
        </is>
      </c>
      <c r="C94" s="45">
        <f>C29*in_CAC</f>
        <v/>
      </c>
      <c r="D94" s="45">
        <f>D29*in_CAC</f>
        <v/>
      </c>
      <c r="E94" s="45">
        <f>E29*in_CAC</f>
        <v/>
      </c>
      <c r="F94" s="45">
        <f>F29*in_CAC</f>
        <v/>
      </c>
      <c r="G94" s="45">
        <f>G29*in_CAC</f>
        <v/>
      </c>
      <c r="H94" s="45">
        <f>H29*in_CAC</f>
        <v/>
      </c>
      <c r="I94" s="45">
        <f>I29*in_CAC</f>
        <v/>
      </c>
      <c r="J94" s="45">
        <f>J29*in_CAC</f>
        <v/>
      </c>
      <c r="K94" s="45">
        <f>K29*in_CAC</f>
        <v/>
      </c>
      <c r="L94" s="45">
        <f>L29*in_CAC</f>
        <v/>
      </c>
      <c r="M94" s="45">
        <f>M29*in_CAC</f>
        <v/>
      </c>
      <c r="N94" s="45">
        <f>N29*in_CAC</f>
        <v/>
      </c>
      <c r="O94" s="45">
        <f>O29*in_CAC</f>
        <v/>
      </c>
      <c r="P94" s="45">
        <f>P29*in_CAC</f>
        <v/>
      </c>
      <c r="Q94" s="45">
        <f>Q29*in_CAC</f>
        <v/>
      </c>
      <c r="R94" s="46">
        <f>SUM(C94:Q94)</f>
        <v/>
      </c>
    </row>
    <row r="95">
      <c r="A95" s="10" t="inlineStr">
        <is>
          <t>Sampling and content</t>
        </is>
      </c>
      <c r="C95" s="45">
        <f>IF(C$23&gt;=DATE(YEAR(in_SampleStart),MONTH(in_SampleStart),1),in_SampleBudget,0)</f>
        <v/>
      </c>
      <c r="D95" s="45">
        <f>IF(D$23&gt;=DATE(YEAR(in_SampleStart),MONTH(in_SampleStart),1),in_SampleBudget,0)</f>
        <v/>
      </c>
      <c r="E95" s="45">
        <f>IF(E$23&gt;=DATE(YEAR(in_SampleStart),MONTH(in_SampleStart),1),in_SampleBudget,0)</f>
        <v/>
      </c>
      <c r="F95" s="45">
        <f>IF(F$23&gt;=DATE(YEAR(in_SampleStart),MONTH(in_SampleStart),1),in_SampleBudget,0)</f>
        <v/>
      </c>
      <c r="G95" s="45">
        <f>IF(G$23&gt;=DATE(YEAR(in_SampleStart),MONTH(in_SampleStart),1),in_SampleBudget,0)</f>
        <v/>
      </c>
      <c r="H95" s="45">
        <f>IF(H$23&gt;=DATE(YEAR(in_SampleStart),MONTH(in_SampleStart),1),in_SampleBudget,0)</f>
        <v/>
      </c>
      <c r="I95" s="45">
        <f>IF(I$23&gt;=DATE(YEAR(in_SampleStart),MONTH(in_SampleStart),1),in_SampleBudget,0)</f>
        <v/>
      </c>
      <c r="J95" s="45">
        <f>IF(J$23&gt;=DATE(YEAR(in_SampleStart),MONTH(in_SampleStart),1),in_SampleBudget,0)</f>
        <v/>
      </c>
      <c r="K95" s="45">
        <f>IF(K$23&gt;=DATE(YEAR(in_SampleStart),MONTH(in_SampleStart),1),in_SampleBudget,0)</f>
        <v/>
      </c>
      <c r="L95" s="45">
        <f>IF(L$23&gt;=DATE(YEAR(in_SampleStart),MONTH(in_SampleStart),1),in_SampleBudget,0)</f>
        <v/>
      </c>
      <c r="M95" s="45">
        <f>IF(M$23&gt;=DATE(YEAR(in_SampleStart),MONTH(in_SampleStart),1),in_SampleBudget,0)</f>
        <v/>
      </c>
      <c r="N95" s="45">
        <f>IF(N$23&gt;=DATE(YEAR(in_SampleStart),MONTH(in_SampleStart),1),in_SampleBudget,0)</f>
        <v/>
      </c>
      <c r="O95" s="45">
        <f>IF(O$23&gt;=DATE(YEAR(in_SampleStart),MONTH(in_SampleStart),1),in_SampleBudget,0)</f>
        <v/>
      </c>
      <c r="P95" s="45">
        <f>IF(P$23&gt;=DATE(YEAR(in_SampleStart),MONTH(in_SampleStart),1),in_SampleBudget,0)</f>
        <v/>
      </c>
      <c r="Q95" s="45">
        <f>IF(Q$23&gt;=DATE(YEAR(in_SampleStart),MONTH(in_SampleStart),1),in_SampleBudget,0)</f>
        <v/>
      </c>
      <c r="R95" s="46">
        <f>SUM(C95:Q95)</f>
        <v/>
      </c>
    </row>
    <row r="96">
      <c r="A96" s="26" t="inlineStr">
        <is>
          <t>Total marketing</t>
        </is>
      </c>
      <c r="C96" s="47">
        <f>C94+C95</f>
        <v/>
      </c>
      <c r="D96" s="47">
        <f>D94+D95</f>
        <v/>
      </c>
      <c r="E96" s="47">
        <f>E94+E95</f>
        <v/>
      </c>
      <c r="F96" s="47">
        <f>F94+F95</f>
        <v/>
      </c>
      <c r="G96" s="47">
        <f>G94+G95</f>
        <v/>
      </c>
      <c r="H96" s="47">
        <f>H94+H95</f>
        <v/>
      </c>
      <c r="I96" s="47">
        <f>I94+I95</f>
        <v/>
      </c>
      <c r="J96" s="47">
        <f>J94+J95</f>
        <v/>
      </c>
      <c r="K96" s="47">
        <f>K94+K95</f>
        <v/>
      </c>
      <c r="L96" s="47">
        <f>L94+L95</f>
        <v/>
      </c>
      <c r="M96" s="47">
        <f>M94+M95</f>
        <v/>
      </c>
      <c r="N96" s="47">
        <f>N94+N95</f>
        <v/>
      </c>
      <c r="O96" s="47">
        <f>O94+O95</f>
        <v/>
      </c>
      <c r="P96" s="47">
        <f>P94+P95</f>
        <v/>
      </c>
      <c r="Q96" s="47">
        <f>Q94+Q95</f>
        <v/>
      </c>
      <c r="R96" s="46">
        <f>SUM(C96:Q96)</f>
        <v/>
      </c>
    </row>
    <row r="98">
      <c r="A98" s="7" t="inlineStr">
        <is>
          <t>Fixed costs (cash out)</t>
        </is>
      </c>
      <c r="B98" s="8" t="n"/>
      <c r="C98" s="8" t="n"/>
      <c r="D98" s="8" t="n"/>
      <c r="E98" s="8" t="n"/>
      <c r="F98" s="8" t="n"/>
      <c r="G98" s="8" t="n"/>
      <c r="H98" s="8" t="n"/>
      <c r="I98" s="8" t="n"/>
      <c r="J98" s="8" t="n"/>
      <c r="K98" s="8" t="n"/>
      <c r="L98" s="8" t="n"/>
      <c r="M98" s="8" t="n"/>
      <c r="N98" s="8" t="n"/>
      <c r="O98" s="8" t="n"/>
      <c r="P98" s="8" t="n"/>
      <c r="Q98" s="8" t="n"/>
      <c r="R98" s="8" t="n"/>
    </row>
    <row r="99">
      <c r="A99" s="10" t="inlineStr">
        <is>
          <t>Shopify Basic</t>
        </is>
      </c>
      <c r="C99" s="45">
        <f>IF(C$23&gt;=DATE(YEAR(in_FxShopify_Start),MONTH(in_FxShopify_Start),1),in_FxShopify,0)</f>
        <v/>
      </c>
      <c r="D99" s="45">
        <f>IF(D$23&gt;=DATE(YEAR(in_FxShopify_Start),MONTH(in_FxShopify_Start),1),in_FxShopify,0)</f>
        <v/>
      </c>
      <c r="E99" s="45">
        <f>IF(E$23&gt;=DATE(YEAR(in_FxShopify_Start),MONTH(in_FxShopify_Start),1),in_FxShopify,0)</f>
        <v/>
      </c>
      <c r="F99" s="45">
        <f>IF(F$23&gt;=DATE(YEAR(in_FxShopify_Start),MONTH(in_FxShopify_Start),1),in_FxShopify,0)</f>
        <v/>
      </c>
      <c r="G99" s="45">
        <f>IF(G$23&gt;=DATE(YEAR(in_FxShopify_Start),MONTH(in_FxShopify_Start),1),in_FxShopify,0)</f>
        <v/>
      </c>
      <c r="H99" s="45">
        <f>IF(H$23&gt;=DATE(YEAR(in_FxShopify_Start),MONTH(in_FxShopify_Start),1),in_FxShopify,0)</f>
        <v/>
      </c>
      <c r="I99" s="45">
        <f>IF(I$23&gt;=DATE(YEAR(in_FxShopify_Start),MONTH(in_FxShopify_Start),1),in_FxShopify,0)</f>
        <v/>
      </c>
      <c r="J99" s="45">
        <f>IF(J$23&gt;=DATE(YEAR(in_FxShopify_Start),MONTH(in_FxShopify_Start),1),in_FxShopify,0)</f>
        <v/>
      </c>
      <c r="K99" s="45">
        <f>IF(K$23&gt;=DATE(YEAR(in_FxShopify_Start),MONTH(in_FxShopify_Start),1),in_FxShopify,0)</f>
        <v/>
      </c>
      <c r="L99" s="45">
        <f>IF(L$23&gt;=DATE(YEAR(in_FxShopify_Start),MONTH(in_FxShopify_Start),1),in_FxShopify,0)</f>
        <v/>
      </c>
      <c r="M99" s="45">
        <f>IF(M$23&gt;=DATE(YEAR(in_FxShopify_Start),MONTH(in_FxShopify_Start),1),in_FxShopify,0)</f>
        <v/>
      </c>
      <c r="N99" s="45">
        <f>IF(N$23&gt;=DATE(YEAR(in_FxShopify_Start),MONTH(in_FxShopify_Start),1),in_FxShopify,0)</f>
        <v/>
      </c>
      <c r="O99" s="45">
        <f>IF(O$23&gt;=DATE(YEAR(in_FxShopify_Start),MONTH(in_FxShopify_Start),1),in_FxShopify,0)</f>
        <v/>
      </c>
      <c r="P99" s="45">
        <f>IF(P$23&gt;=DATE(YEAR(in_FxShopify_Start),MONTH(in_FxShopify_Start),1),in_FxShopify,0)</f>
        <v/>
      </c>
      <c r="Q99" s="45">
        <f>IF(Q$23&gt;=DATE(YEAR(in_FxShopify_Start),MONTH(in_FxShopify_Start),1),in_FxShopify,0)</f>
        <v/>
      </c>
      <c r="R99" s="46">
        <f>SUM(C99:Q99)</f>
        <v/>
      </c>
    </row>
    <row r="100">
      <c r="A100" s="10" t="inlineStr">
        <is>
          <t>Klaviyo email</t>
        </is>
      </c>
      <c r="C100" s="45">
        <f>IF(C$23&gt;=DATE(YEAR(in_FxKlaviyo_Start),MONTH(in_FxKlaviyo_Start),1),in_FxKlaviyo,0)</f>
        <v/>
      </c>
      <c r="D100" s="45">
        <f>IF(D$23&gt;=DATE(YEAR(in_FxKlaviyo_Start),MONTH(in_FxKlaviyo_Start),1),in_FxKlaviyo,0)</f>
        <v/>
      </c>
      <c r="E100" s="45">
        <f>IF(E$23&gt;=DATE(YEAR(in_FxKlaviyo_Start),MONTH(in_FxKlaviyo_Start),1),in_FxKlaviyo,0)</f>
        <v/>
      </c>
      <c r="F100" s="45">
        <f>IF(F$23&gt;=DATE(YEAR(in_FxKlaviyo_Start),MONTH(in_FxKlaviyo_Start),1),in_FxKlaviyo,0)</f>
        <v/>
      </c>
      <c r="G100" s="45">
        <f>IF(G$23&gt;=DATE(YEAR(in_FxKlaviyo_Start),MONTH(in_FxKlaviyo_Start),1),in_FxKlaviyo,0)</f>
        <v/>
      </c>
      <c r="H100" s="45">
        <f>IF(H$23&gt;=DATE(YEAR(in_FxKlaviyo_Start),MONTH(in_FxKlaviyo_Start),1),in_FxKlaviyo,0)</f>
        <v/>
      </c>
      <c r="I100" s="45">
        <f>IF(I$23&gt;=DATE(YEAR(in_FxKlaviyo_Start),MONTH(in_FxKlaviyo_Start),1),in_FxKlaviyo,0)</f>
        <v/>
      </c>
      <c r="J100" s="45">
        <f>IF(J$23&gt;=DATE(YEAR(in_FxKlaviyo_Start),MONTH(in_FxKlaviyo_Start),1),in_FxKlaviyo,0)</f>
        <v/>
      </c>
      <c r="K100" s="45">
        <f>IF(K$23&gt;=DATE(YEAR(in_FxKlaviyo_Start),MONTH(in_FxKlaviyo_Start),1),in_FxKlaviyo,0)</f>
        <v/>
      </c>
      <c r="L100" s="45">
        <f>IF(L$23&gt;=DATE(YEAR(in_FxKlaviyo_Start),MONTH(in_FxKlaviyo_Start),1),in_FxKlaviyo,0)</f>
        <v/>
      </c>
      <c r="M100" s="45">
        <f>IF(M$23&gt;=DATE(YEAR(in_FxKlaviyo_Start),MONTH(in_FxKlaviyo_Start),1),in_FxKlaviyo,0)</f>
        <v/>
      </c>
      <c r="N100" s="45">
        <f>IF(N$23&gt;=DATE(YEAR(in_FxKlaviyo_Start),MONTH(in_FxKlaviyo_Start),1),in_FxKlaviyo,0)</f>
        <v/>
      </c>
      <c r="O100" s="45">
        <f>IF(O$23&gt;=DATE(YEAR(in_FxKlaviyo_Start),MONTH(in_FxKlaviyo_Start),1),in_FxKlaviyo,0)</f>
        <v/>
      </c>
      <c r="P100" s="45">
        <f>IF(P$23&gt;=DATE(YEAR(in_FxKlaviyo_Start),MONTH(in_FxKlaviyo_Start),1),in_FxKlaviyo,0)</f>
        <v/>
      </c>
      <c r="Q100" s="45">
        <f>IF(Q$23&gt;=DATE(YEAR(in_FxKlaviyo_Start),MONTH(in_FxKlaviyo_Start),1),in_FxKlaviyo,0)</f>
        <v/>
      </c>
      <c r="R100" s="46">
        <f>SUM(C100:Q100)</f>
        <v/>
      </c>
    </row>
    <row r="101">
      <c r="A101" s="10" t="inlineStr">
        <is>
          <t>Product liability insurance</t>
        </is>
      </c>
      <c r="C101" s="45">
        <f>IF(C$23&gt;=DATE(YEAR(in_FxInsurance_Start),MONTH(in_FxInsurance_Start),1),in_FxInsurance,0)</f>
        <v/>
      </c>
      <c r="D101" s="45">
        <f>IF(D$23&gt;=DATE(YEAR(in_FxInsurance_Start),MONTH(in_FxInsurance_Start),1),in_FxInsurance,0)</f>
        <v/>
      </c>
      <c r="E101" s="45">
        <f>IF(E$23&gt;=DATE(YEAR(in_FxInsurance_Start),MONTH(in_FxInsurance_Start),1),in_FxInsurance,0)</f>
        <v/>
      </c>
      <c r="F101" s="45">
        <f>IF(F$23&gt;=DATE(YEAR(in_FxInsurance_Start),MONTH(in_FxInsurance_Start),1),in_FxInsurance,0)</f>
        <v/>
      </c>
      <c r="G101" s="45">
        <f>IF(G$23&gt;=DATE(YEAR(in_FxInsurance_Start),MONTH(in_FxInsurance_Start),1),in_FxInsurance,0)</f>
        <v/>
      </c>
      <c r="H101" s="45">
        <f>IF(H$23&gt;=DATE(YEAR(in_FxInsurance_Start),MONTH(in_FxInsurance_Start),1),in_FxInsurance,0)</f>
        <v/>
      </c>
      <c r="I101" s="45">
        <f>IF(I$23&gt;=DATE(YEAR(in_FxInsurance_Start),MONTH(in_FxInsurance_Start),1),in_FxInsurance,0)</f>
        <v/>
      </c>
      <c r="J101" s="45">
        <f>IF(J$23&gt;=DATE(YEAR(in_FxInsurance_Start),MONTH(in_FxInsurance_Start),1),in_FxInsurance,0)</f>
        <v/>
      </c>
      <c r="K101" s="45">
        <f>IF(K$23&gt;=DATE(YEAR(in_FxInsurance_Start),MONTH(in_FxInsurance_Start),1),in_FxInsurance,0)</f>
        <v/>
      </c>
      <c r="L101" s="45">
        <f>IF(L$23&gt;=DATE(YEAR(in_FxInsurance_Start),MONTH(in_FxInsurance_Start),1),in_FxInsurance,0)</f>
        <v/>
      </c>
      <c r="M101" s="45">
        <f>IF(M$23&gt;=DATE(YEAR(in_FxInsurance_Start),MONTH(in_FxInsurance_Start),1),in_FxInsurance,0)</f>
        <v/>
      </c>
      <c r="N101" s="45">
        <f>IF(N$23&gt;=DATE(YEAR(in_FxInsurance_Start),MONTH(in_FxInsurance_Start),1),in_FxInsurance,0)</f>
        <v/>
      </c>
      <c r="O101" s="45">
        <f>IF(O$23&gt;=DATE(YEAR(in_FxInsurance_Start),MONTH(in_FxInsurance_Start),1),in_FxInsurance,0)</f>
        <v/>
      </c>
      <c r="P101" s="45">
        <f>IF(P$23&gt;=DATE(YEAR(in_FxInsurance_Start),MONTH(in_FxInsurance_Start),1),in_FxInsurance,0)</f>
        <v/>
      </c>
      <c r="Q101" s="45">
        <f>IF(Q$23&gt;=DATE(YEAR(in_FxInsurance_Start),MONTH(in_FxInsurance_Start),1),in_FxInsurance,0)</f>
        <v/>
      </c>
      <c r="R101" s="46">
        <f>SUM(C101:Q101)</f>
        <v/>
      </c>
    </row>
    <row r="102">
      <c r="A102" s="10" t="inlineStr">
        <is>
          <t>Other software (SMS credits, apps)</t>
        </is>
      </c>
      <c r="C102" s="45">
        <f>IF(C$23&gt;=DATE(YEAR(in_FxSoftware_Start),MONTH(in_FxSoftware_Start),1),in_FxSoftware,0)</f>
        <v/>
      </c>
      <c r="D102" s="45">
        <f>IF(D$23&gt;=DATE(YEAR(in_FxSoftware_Start),MONTH(in_FxSoftware_Start),1),in_FxSoftware,0)</f>
        <v/>
      </c>
      <c r="E102" s="45">
        <f>IF(E$23&gt;=DATE(YEAR(in_FxSoftware_Start),MONTH(in_FxSoftware_Start),1),in_FxSoftware,0)</f>
        <v/>
      </c>
      <c r="F102" s="45">
        <f>IF(F$23&gt;=DATE(YEAR(in_FxSoftware_Start),MONTH(in_FxSoftware_Start),1),in_FxSoftware,0)</f>
        <v/>
      </c>
      <c r="G102" s="45">
        <f>IF(G$23&gt;=DATE(YEAR(in_FxSoftware_Start),MONTH(in_FxSoftware_Start),1),in_FxSoftware,0)</f>
        <v/>
      </c>
      <c r="H102" s="45">
        <f>IF(H$23&gt;=DATE(YEAR(in_FxSoftware_Start),MONTH(in_FxSoftware_Start),1),in_FxSoftware,0)</f>
        <v/>
      </c>
      <c r="I102" s="45">
        <f>IF(I$23&gt;=DATE(YEAR(in_FxSoftware_Start),MONTH(in_FxSoftware_Start),1),in_FxSoftware,0)</f>
        <v/>
      </c>
      <c r="J102" s="45">
        <f>IF(J$23&gt;=DATE(YEAR(in_FxSoftware_Start),MONTH(in_FxSoftware_Start),1),in_FxSoftware,0)</f>
        <v/>
      </c>
      <c r="K102" s="45">
        <f>IF(K$23&gt;=DATE(YEAR(in_FxSoftware_Start),MONTH(in_FxSoftware_Start),1),in_FxSoftware,0)</f>
        <v/>
      </c>
      <c r="L102" s="45">
        <f>IF(L$23&gt;=DATE(YEAR(in_FxSoftware_Start),MONTH(in_FxSoftware_Start),1),in_FxSoftware,0)</f>
        <v/>
      </c>
      <c r="M102" s="45">
        <f>IF(M$23&gt;=DATE(YEAR(in_FxSoftware_Start),MONTH(in_FxSoftware_Start),1),in_FxSoftware,0)</f>
        <v/>
      </c>
      <c r="N102" s="45">
        <f>IF(N$23&gt;=DATE(YEAR(in_FxSoftware_Start),MONTH(in_FxSoftware_Start),1),in_FxSoftware,0)</f>
        <v/>
      </c>
      <c r="O102" s="45">
        <f>IF(O$23&gt;=DATE(YEAR(in_FxSoftware_Start),MONTH(in_FxSoftware_Start),1),in_FxSoftware,0)</f>
        <v/>
      </c>
      <c r="P102" s="45">
        <f>IF(P$23&gt;=DATE(YEAR(in_FxSoftware_Start),MONTH(in_FxSoftware_Start),1),in_FxSoftware,0)</f>
        <v/>
      </c>
      <c r="Q102" s="45">
        <f>IF(Q$23&gt;=DATE(YEAR(in_FxSoftware_Start),MONTH(in_FxSoftware_Start),1),in_FxSoftware,0)</f>
        <v/>
      </c>
      <c r="R102" s="46">
        <f>SUM(C102:Q102)</f>
        <v/>
      </c>
    </row>
    <row r="103">
      <c r="A103" s="10" t="inlineStr">
        <is>
          <t>Bookkeeping</t>
        </is>
      </c>
      <c r="C103" s="45">
        <f>IF(C$23&gt;=DATE(YEAR(in_FxBooks_Start),MONTH(in_FxBooks_Start),1),in_FxBooks,0)</f>
        <v/>
      </c>
      <c r="D103" s="45">
        <f>IF(D$23&gt;=DATE(YEAR(in_FxBooks_Start),MONTH(in_FxBooks_Start),1),in_FxBooks,0)</f>
        <v/>
      </c>
      <c r="E103" s="45">
        <f>IF(E$23&gt;=DATE(YEAR(in_FxBooks_Start),MONTH(in_FxBooks_Start),1),in_FxBooks,0)</f>
        <v/>
      </c>
      <c r="F103" s="45">
        <f>IF(F$23&gt;=DATE(YEAR(in_FxBooks_Start),MONTH(in_FxBooks_Start),1),in_FxBooks,0)</f>
        <v/>
      </c>
      <c r="G103" s="45">
        <f>IF(G$23&gt;=DATE(YEAR(in_FxBooks_Start),MONTH(in_FxBooks_Start),1),in_FxBooks,0)</f>
        <v/>
      </c>
      <c r="H103" s="45">
        <f>IF(H$23&gt;=DATE(YEAR(in_FxBooks_Start),MONTH(in_FxBooks_Start),1),in_FxBooks,0)</f>
        <v/>
      </c>
      <c r="I103" s="45">
        <f>IF(I$23&gt;=DATE(YEAR(in_FxBooks_Start),MONTH(in_FxBooks_Start),1),in_FxBooks,0)</f>
        <v/>
      </c>
      <c r="J103" s="45">
        <f>IF(J$23&gt;=DATE(YEAR(in_FxBooks_Start),MONTH(in_FxBooks_Start),1),in_FxBooks,0)</f>
        <v/>
      </c>
      <c r="K103" s="45">
        <f>IF(K$23&gt;=DATE(YEAR(in_FxBooks_Start),MONTH(in_FxBooks_Start),1),in_FxBooks,0)</f>
        <v/>
      </c>
      <c r="L103" s="45">
        <f>IF(L$23&gt;=DATE(YEAR(in_FxBooks_Start),MONTH(in_FxBooks_Start),1),in_FxBooks,0)</f>
        <v/>
      </c>
      <c r="M103" s="45">
        <f>IF(M$23&gt;=DATE(YEAR(in_FxBooks_Start),MONTH(in_FxBooks_Start),1),in_FxBooks,0)</f>
        <v/>
      </c>
      <c r="N103" s="45">
        <f>IF(N$23&gt;=DATE(YEAR(in_FxBooks_Start),MONTH(in_FxBooks_Start),1),in_FxBooks,0)</f>
        <v/>
      </c>
      <c r="O103" s="45">
        <f>IF(O$23&gt;=DATE(YEAR(in_FxBooks_Start),MONTH(in_FxBooks_Start),1),in_FxBooks,0)</f>
        <v/>
      </c>
      <c r="P103" s="45">
        <f>IF(P$23&gt;=DATE(YEAR(in_FxBooks_Start),MONTH(in_FxBooks_Start),1),in_FxBooks,0)</f>
        <v/>
      </c>
      <c r="Q103" s="45">
        <f>IF(Q$23&gt;=DATE(YEAR(in_FxBooks_Start),MONTH(in_FxBooks_Start),1),in_FxBooks,0)</f>
        <v/>
      </c>
      <c r="R103" s="46">
        <f>SUM(C103:Q103)</f>
        <v/>
      </c>
    </row>
    <row r="104">
      <c r="A104" s="10" t="inlineStr">
        <is>
          <t>Amazon Professional plan</t>
        </is>
      </c>
      <c r="C104" s="45">
        <f>IF(C$23&gt;=DATE(YEAR(in_FxAmazon_Start),MONTH(in_FxAmazon_Start),1),in_FxAmazon,0)</f>
        <v/>
      </c>
      <c r="D104" s="45">
        <f>IF(D$23&gt;=DATE(YEAR(in_FxAmazon_Start),MONTH(in_FxAmazon_Start),1),in_FxAmazon,0)</f>
        <v/>
      </c>
      <c r="E104" s="45">
        <f>IF(E$23&gt;=DATE(YEAR(in_FxAmazon_Start),MONTH(in_FxAmazon_Start),1),in_FxAmazon,0)</f>
        <v/>
      </c>
      <c r="F104" s="45">
        <f>IF(F$23&gt;=DATE(YEAR(in_FxAmazon_Start),MONTH(in_FxAmazon_Start),1),in_FxAmazon,0)</f>
        <v/>
      </c>
      <c r="G104" s="45">
        <f>IF(G$23&gt;=DATE(YEAR(in_FxAmazon_Start),MONTH(in_FxAmazon_Start),1),in_FxAmazon,0)</f>
        <v/>
      </c>
      <c r="H104" s="45">
        <f>IF(H$23&gt;=DATE(YEAR(in_FxAmazon_Start),MONTH(in_FxAmazon_Start),1),in_FxAmazon,0)</f>
        <v/>
      </c>
      <c r="I104" s="45">
        <f>IF(I$23&gt;=DATE(YEAR(in_FxAmazon_Start),MONTH(in_FxAmazon_Start),1),in_FxAmazon,0)</f>
        <v/>
      </c>
      <c r="J104" s="45">
        <f>IF(J$23&gt;=DATE(YEAR(in_FxAmazon_Start),MONTH(in_FxAmazon_Start),1),in_FxAmazon,0)</f>
        <v/>
      </c>
      <c r="K104" s="45">
        <f>IF(K$23&gt;=DATE(YEAR(in_FxAmazon_Start),MONTH(in_FxAmazon_Start),1),in_FxAmazon,0)</f>
        <v/>
      </c>
      <c r="L104" s="45">
        <f>IF(L$23&gt;=DATE(YEAR(in_FxAmazon_Start),MONTH(in_FxAmazon_Start),1),in_FxAmazon,0)</f>
        <v/>
      </c>
      <c r="M104" s="45">
        <f>IF(M$23&gt;=DATE(YEAR(in_FxAmazon_Start),MONTH(in_FxAmazon_Start),1),in_FxAmazon,0)</f>
        <v/>
      </c>
      <c r="N104" s="45">
        <f>IF(N$23&gt;=DATE(YEAR(in_FxAmazon_Start),MONTH(in_FxAmazon_Start),1),in_FxAmazon,0)</f>
        <v/>
      </c>
      <c r="O104" s="45">
        <f>IF(O$23&gt;=DATE(YEAR(in_FxAmazon_Start),MONTH(in_FxAmazon_Start),1),in_FxAmazon,0)</f>
        <v/>
      </c>
      <c r="P104" s="45">
        <f>IF(P$23&gt;=DATE(YEAR(in_FxAmazon_Start),MONTH(in_FxAmazon_Start),1),in_FxAmazon,0)</f>
        <v/>
      </c>
      <c r="Q104" s="45">
        <f>IF(Q$23&gt;=DATE(YEAR(in_FxAmazon_Start),MONTH(in_FxAmazon_Start),1),in_FxAmazon,0)</f>
        <v/>
      </c>
      <c r="R104" s="46">
        <f>SUM(C104:Q104)</f>
        <v/>
      </c>
    </row>
    <row r="105">
      <c r="A105" s="26" t="inlineStr">
        <is>
          <t>Total fixed costs</t>
        </is>
      </c>
      <c r="C105" s="47">
        <f>SUM(C99:C104)</f>
        <v/>
      </c>
      <c r="D105" s="47">
        <f>SUM(D99:D104)</f>
        <v/>
      </c>
      <c r="E105" s="47">
        <f>SUM(E99:E104)</f>
        <v/>
      </c>
      <c r="F105" s="47">
        <f>SUM(F99:F104)</f>
        <v/>
      </c>
      <c r="G105" s="47">
        <f>SUM(G99:G104)</f>
        <v/>
      </c>
      <c r="H105" s="47">
        <f>SUM(H99:H104)</f>
        <v/>
      </c>
      <c r="I105" s="47">
        <f>SUM(I99:I104)</f>
        <v/>
      </c>
      <c r="J105" s="47">
        <f>SUM(J99:J104)</f>
        <v/>
      </c>
      <c r="K105" s="47">
        <f>SUM(K99:K104)</f>
        <v/>
      </c>
      <c r="L105" s="47">
        <f>SUM(L99:L104)</f>
        <v/>
      </c>
      <c r="M105" s="47">
        <f>SUM(M99:M104)</f>
        <v/>
      </c>
      <c r="N105" s="47">
        <f>SUM(N99:N104)</f>
        <v/>
      </c>
      <c r="O105" s="47">
        <f>SUM(O99:O104)</f>
        <v/>
      </c>
      <c r="P105" s="47">
        <f>SUM(P99:P104)</f>
        <v/>
      </c>
      <c r="Q105" s="47">
        <f>SUM(Q99:Q104)</f>
        <v/>
      </c>
      <c r="R105" s="46">
        <f>SUM(C105:Q105)</f>
        <v/>
      </c>
    </row>
    <row r="107">
      <c r="A107" s="7" t="inlineStr">
        <is>
          <t>One-time launch costs (cash out)</t>
        </is>
      </c>
      <c r="B107" s="8" t="n"/>
      <c r="C107" s="8" t="n"/>
      <c r="D107" s="8" t="n"/>
      <c r="E107" s="8" t="n"/>
      <c r="F107" s="8" t="n"/>
      <c r="G107" s="8" t="n"/>
      <c r="H107" s="8" t="n"/>
      <c r="I107" s="8" t="n"/>
      <c r="J107" s="8" t="n"/>
      <c r="K107" s="8" t="n"/>
      <c r="L107" s="8" t="n"/>
      <c r="M107" s="8" t="n"/>
      <c r="N107" s="8" t="n"/>
      <c r="O107" s="8" t="n"/>
      <c r="P107" s="8" t="n"/>
      <c r="Q107" s="8" t="n"/>
      <c r="R107" s="8" t="n"/>
    </row>
    <row r="108">
      <c r="A108" s="10" t="inlineStr">
        <is>
          <t>Company, trademark, lawyer review, insurance setup</t>
        </is>
      </c>
      <c r="C108" s="45">
        <f>IF(EOMONTH(in_OtCompany_D,0)=EOMONTH(C$23,0),IF($B$3="Lean",in_OtCompany_L,in_OtCompany_S),0)</f>
        <v/>
      </c>
      <c r="D108" s="45">
        <f>IF(EOMONTH(in_OtCompany_D,0)=EOMONTH(D$23,0),IF($B$3="Lean",in_OtCompany_L,in_OtCompany_S),0)</f>
        <v/>
      </c>
      <c r="E108" s="45">
        <f>IF(EOMONTH(in_OtCompany_D,0)=EOMONTH(E$23,0),IF($B$3="Lean",in_OtCompany_L,in_OtCompany_S),0)</f>
        <v/>
      </c>
      <c r="F108" s="45">
        <f>IF(EOMONTH(in_OtCompany_D,0)=EOMONTH(F$23,0),IF($B$3="Lean",in_OtCompany_L,in_OtCompany_S),0)</f>
        <v/>
      </c>
      <c r="G108" s="45">
        <f>IF(EOMONTH(in_OtCompany_D,0)=EOMONTH(G$23,0),IF($B$3="Lean",in_OtCompany_L,in_OtCompany_S),0)</f>
        <v/>
      </c>
      <c r="H108" s="45">
        <f>IF(EOMONTH(in_OtCompany_D,0)=EOMONTH(H$23,0),IF($B$3="Lean",in_OtCompany_L,in_OtCompany_S),0)</f>
        <v/>
      </c>
      <c r="I108" s="45">
        <f>IF(EOMONTH(in_OtCompany_D,0)=EOMONTH(I$23,0),IF($B$3="Lean",in_OtCompany_L,in_OtCompany_S),0)</f>
        <v/>
      </c>
      <c r="J108" s="45">
        <f>IF(EOMONTH(in_OtCompany_D,0)=EOMONTH(J$23,0),IF($B$3="Lean",in_OtCompany_L,in_OtCompany_S),0)</f>
        <v/>
      </c>
      <c r="K108" s="45">
        <f>IF(EOMONTH(in_OtCompany_D,0)=EOMONTH(K$23,0),IF($B$3="Lean",in_OtCompany_L,in_OtCompany_S),0)</f>
        <v/>
      </c>
      <c r="L108" s="45">
        <f>IF(EOMONTH(in_OtCompany_D,0)=EOMONTH(L$23,0),IF($B$3="Lean",in_OtCompany_L,in_OtCompany_S),0)</f>
        <v/>
      </c>
      <c r="M108" s="45">
        <f>IF(EOMONTH(in_OtCompany_D,0)=EOMONTH(M$23,0),IF($B$3="Lean",in_OtCompany_L,in_OtCompany_S),0)</f>
        <v/>
      </c>
      <c r="N108" s="45">
        <f>IF(EOMONTH(in_OtCompany_D,0)=EOMONTH(N$23,0),IF($B$3="Lean",in_OtCompany_L,in_OtCompany_S),0)</f>
        <v/>
      </c>
      <c r="O108" s="45">
        <f>IF(EOMONTH(in_OtCompany_D,0)=EOMONTH(O$23,0),IF($B$3="Lean",in_OtCompany_L,in_OtCompany_S),0)</f>
        <v/>
      </c>
      <c r="P108" s="45">
        <f>IF(EOMONTH(in_OtCompany_D,0)=EOMONTH(P$23,0),IF($B$3="Lean",in_OtCompany_L,in_OtCompany_S),0)</f>
        <v/>
      </c>
      <c r="Q108" s="45">
        <f>IF(EOMONTH(in_OtCompany_D,0)=EOMONTH(Q$23,0),IF($B$3="Lean",in_OtCompany_L,in_OtCompany_S),0)</f>
        <v/>
      </c>
      <c r="R108" s="46">
        <f>SUM(C108:Q108)</f>
        <v/>
      </c>
    </row>
    <row r="109">
      <c r="A109" s="10" t="inlineStr">
        <is>
          <t>Samples and flavour development (Strawberry)</t>
        </is>
      </c>
      <c r="C109" s="45">
        <f>IF(EOMONTH(in_OtSamples_D,0)=EOMONTH(C$23,0),IF($B$3="Lean",in_OtSamples_L,in_OtSamples_S),0)</f>
        <v/>
      </c>
      <c r="D109" s="45">
        <f>IF(EOMONTH(in_OtSamples_D,0)=EOMONTH(D$23,0),IF($B$3="Lean",in_OtSamples_L,in_OtSamples_S),0)</f>
        <v/>
      </c>
      <c r="E109" s="45">
        <f>IF(EOMONTH(in_OtSamples_D,0)=EOMONTH(E$23,0),IF($B$3="Lean",in_OtSamples_L,in_OtSamples_S),0)</f>
        <v/>
      </c>
      <c r="F109" s="45">
        <f>IF(EOMONTH(in_OtSamples_D,0)=EOMONTH(F$23,0),IF($B$3="Lean",in_OtSamples_L,in_OtSamples_S),0)</f>
        <v/>
      </c>
      <c r="G109" s="45">
        <f>IF(EOMONTH(in_OtSamples_D,0)=EOMONTH(G$23,0),IF($B$3="Lean",in_OtSamples_L,in_OtSamples_S),0)</f>
        <v/>
      </c>
      <c r="H109" s="45">
        <f>IF(EOMONTH(in_OtSamples_D,0)=EOMONTH(H$23,0),IF($B$3="Lean",in_OtSamples_L,in_OtSamples_S),0)</f>
        <v/>
      </c>
      <c r="I109" s="45">
        <f>IF(EOMONTH(in_OtSamples_D,0)=EOMONTH(I$23,0),IF($B$3="Lean",in_OtSamples_L,in_OtSamples_S),0)</f>
        <v/>
      </c>
      <c r="J109" s="45">
        <f>IF(EOMONTH(in_OtSamples_D,0)=EOMONTH(J$23,0),IF($B$3="Lean",in_OtSamples_L,in_OtSamples_S),0)</f>
        <v/>
      </c>
      <c r="K109" s="45">
        <f>IF(EOMONTH(in_OtSamples_D,0)=EOMONTH(K$23,0),IF($B$3="Lean",in_OtSamples_L,in_OtSamples_S),0)</f>
        <v/>
      </c>
      <c r="L109" s="45">
        <f>IF(EOMONTH(in_OtSamples_D,0)=EOMONTH(L$23,0),IF($B$3="Lean",in_OtSamples_L,in_OtSamples_S),0)</f>
        <v/>
      </c>
      <c r="M109" s="45">
        <f>IF(EOMONTH(in_OtSamples_D,0)=EOMONTH(M$23,0),IF($B$3="Lean",in_OtSamples_L,in_OtSamples_S),0)</f>
        <v/>
      </c>
      <c r="N109" s="45">
        <f>IF(EOMONTH(in_OtSamples_D,0)=EOMONTH(N$23,0),IF($B$3="Lean",in_OtSamples_L,in_OtSamples_S),0)</f>
        <v/>
      </c>
      <c r="O109" s="45">
        <f>IF(EOMONTH(in_OtSamples_D,0)=EOMONTH(O$23,0),IF($B$3="Lean",in_OtSamples_L,in_OtSamples_S),0)</f>
        <v/>
      </c>
      <c r="P109" s="45">
        <f>IF(EOMONTH(in_OtSamples_D,0)=EOMONTH(P$23,0),IF($B$3="Lean",in_OtSamples_L,in_OtSamples_S),0)</f>
        <v/>
      </c>
      <c r="Q109" s="45">
        <f>IF(EOMONTH(in_OtSamples_D,0)=EOMONTH(Q$23,0),IF($B$3="Lean",in_OtSamples_L,in_OtSamples_S),0)</f>
        <v/>
      </c>
      <c r="R109" s="46">
        <f>SUM(C109:Q109)</f>
        <v/>
      </c>
    </row>
    <row r="110">
      <c r="A110" s="10" t="inlineStr">
        <is>
          <t>Label and regulatory review</t>
        </is>
      </c>
      <c r="C110" s="45">
        <f>IF(EOMONTH(in_OtLabel_D,0)=EOMONTH(C$23,0),IF($B$3="Lean",in_OtLabel_L,in_OtLabel_S),0)</f>
        <v/>
      </c>
      <c r="D110" s="45">
        <f>IF(EOMONTH(in_OtLabel_D,0)=EOMONTH(D$23,0),IF($B$3="Lean",in_OtLabel_L,in_OtLabel_S),0)</f>
        <v/>
      </c>
      <c r="E110" s="45">
        <f>IF(EOMONTH(in_OtLabel_D,0)=EOMONTH(E$23,0),IF($B$3="Lean",in_OtLabel_L,in_OtLabel_S),0)</f>
        <v/>
      </c>
      <c r="F110" s="45">
        <f>IF(EOMONTH(in_OtLabel_D,0)=EOMONTH(F$23,0),IF($B$3="Lean",in_OtLabel_L,in_OtLabel_S),0)</f>
        <v/>
      </c>
      <c r="G110" s="45">
        <f>IF(EOMONTH(in_OtLabel_D,0)=EOMONTH(G$23,0),IF($B$3="Lean",in_OtLabel_L,in_OtLabel_S),0)</f>
        <v/>
      </c>
      <c r="H110" s="45">
        <f>IF(EOMONTH(in_OtLabel_D,0)=EOMONTH(H$23,0),IF($B$3="Lean",in_OtLabel_L,in_OtLabel_S),0)</f>
        <v/>
      </c>
      <c r="I110" s="45">
        <f>IF(EOMONTH(in_OtLabel_D,0)=EOMONTH(I$23,0),IF($B$3="Lean",in_OtLabel_L,in_OtLabel_S),0)</f>
        <v/>
      </c>
      <c r="J110" s="45">
        <f>IF(EOMONTH(in_OtLabel_D,0)=EOMONTH(J$23,0),IF($B$3="Lean",in_OtLabel_L,in_OtLabel_S),0)</f>
        <v/>
      </c>
      <c r="K110" s="45">
        <f>IF(EOMONTH(in_OtLabel_D,0)=EOMONTH(K$23,0),IF($B$3="Lean",in_OtLabel_L,in_OtLabel_S),0)</f>
        <v/>
      </c>
      <c r="L110" s="45">
        <f>IF(EOMONTH(in_OtLabel_D,0)=EOMONTH(L$23,0),IF($B$3="Lean",in_OtLabel_L,in_OtLabel_S),0)</f>
        <v/>
      </c>
      <c r="M110" s="45">
        <f>IF(EOMONTH(in_OtLabel_D,0)=EOMONTH(M$23,0),IF($B$3="Lean",in_OtLabel_L,in_OtLabel_S),0)</f>
        <v/>
      </c>
      <c r="N110" s="45">
        <f>IF(EOMONTH(in_OtLabel_D,0)=EOMONTH(N$23,0),IF($B$3="Lean",in_OtLabel_L,in_OtLabel_S),0)</f>
        <v/>
      </c>
      <c r="O110" s="45">
        <f>IF(EOMONTH(in_OtLabel_D,0)=EOMONTH(O$23,0),IF($B$3="Lean",in_OtLabel_L,in_OtLabel_S),0)</f>
        <v/>
      </c>
      <c r="P110" s="45">
        <f>IF(EOMONTH(in_OtLabel_D,0)=EOMONTH(P$23,0),IF($B$3="Lean",in_OtLabel_L,in_OtLabel_S),0)</f>
        <v/>
      </c>
      <c r="Q110" s="45">
        <f>IF(EOMONTH(in_OtLabel_D,0)=EOMONTH(Q$23,0),IF($B$3="Lean",in_OtLabel_L,in_OtLabel_S),0)</f>
        <v/>
      </c>
      <c r="R110" s="46">
        <f>SUM(C110:Q110)</f>
        <v/>
      </c>
    </row>
    <row r="111">
      <c r="A111" s="10" t="inlineStr">
        <is>
          <t>Launch kit: shakers, display, sampling supplies, apps</t>
        </is>
      </c>
      <c r="C111" s="45">
        <f>IF(EOMONTH(in_OtKit_D,0)=EOMONTH(C$23,0),IF($B$3="Lean",in_OtKit_L,in_OtKit_S),0)</f>
        <v/>
      </c>
      <c r="D111" s="45">
        <f>IF(EOMONTH(in_OtKit_D,0)=EOMONTH(D$23,0),IF($B$3="Lean",in_OtKit_L,in_OtKit_S),0)</f>
        <v/>
      </c>
      <c r="E111" s="45">
        <f>IF(EOMONTH(in_OtKit_D,0)=EOMONTH(E$23,0),IF($B$3="Lean",in_OtKit_L,in_OtKit_S),0)</f>
        <v/>
      </c>
      <c r="F111" s="45">
        <f>IF(EOMONTH(in_OtKit_D,0)=EOMONTH(F$23,0),IF($B$3="Lean",in_OtKit_L,in_OtKit_S),0)</f>
        <v/>
      </c>
      <c r="G111" s="45">
        <f>IF(EOMONTH(in_OtKit_D,0)=EOMONTH(G$23,0),IF($B$3="Lean",in_OtKit_L,in_OtKit_S),0)</f>
        <v/>
      </c>
      <c r="H111" s="45">
        <f>IF(EOMONTH(in_OtKit_D,0)=EOMONTH(H$23,0),IF($B$3="Lean",in_OtKit_L,in_OtKit_S),0)</f>
        <v/>
      </c>
      <c r="I111" s="45">
        <f>IF(EOMONTH(in_OtKit_D,0)=EOMONTH(I$23,0),IF($B$3="Lean",in_OtKit_L,in_OtKit_S),0)</f>
        <v/>
      </c>
      <c r="J111" s="45">
        <f>IF(EOMONTH(in_OtKit_D,0)=EOMONTH(J$23,0),IF($B$3="Lean",in_OtKit_L,in_OtKit_S),0)</f>
        <v/>
      </c>
      <c r="K111" s="45">
        <f>IF(EOMONTH(in_OtKit_D,0)=EOMONTH(K$23,0),IF($B$3="Lean",in_OtKit_L,in_OtKit_S),0)</f>
        <v/>
      </c>
      <c r="L111" s="45">
        <f>IF(EOMONTH(in_OtKit_D,0)=EOMONTH(L$23,0),IF($B$3="Lean",in_OtKit_L,in_OtKit_S),0)</f>
        <v/>
      </c>
      <c r="M111" s="45">
        <f>IF(EOMONTH(in_OtKit_D,0)=EOMONTH(M$23,0),IF($B$3="Lean",in_OtKit_L,in_OtKit_S),0)</f>
        <v/>
      </c>
      <c r="N111" s="45">
        <f>IF(EOMONTH(in_OtKit_D,0)=EOMONTH(N$23,0),IF($B$3="Lean",in_OtKit_L,in_OtKit_S),0)</f>
        <v/>
      </c>
      <c r="O111" s="45">
        <f>IF(EOMONTH(in_OtKit_D,0)=EOMONTH(O$23,0),IF($B$3="Lean",in_OtKit_L,in_OtKit_S),0)</f>
        <v/>
      </c>
      <c r="P111" s="45">
        <f>IF(EOMONTH(in_OtKit_D,0)=EOMONTH(P$23,0),IF($B$3="Lean",in_OtKit_L,in_OtKit_S),0)</f>
        <v/>
      </c>
      <c r="Q111" s="45">
        <f>IF(EOMONTH(in_OtKit_D,0)=EOMONTH(Q$23,0),IF($B$3="Lean",in_OtKit_L,in_OtKit_S),0)</f>
        <v/>
      </c>
      <c r="R111" s="46">
        <f>SUM(C111:Q111)</f>
        <v/>
      </c>
    </row>
    <row r="112">
      <c r="A112" s="10" t="inlineStr">
        <is>
          <t>Real Fruit Hydration sticks (development and first run)</t>
        </is>
      </c>
      <c r="C112" s="45">
        <f>IF(EOMONTH(in_OtHydra_D,0)=EOMONTH(C$23,0),IF($B$3="Lean",in_OtHydra_L,in_OtHydra_S),0)*in_HydraOn</f>
        <v/>
      </c>
      <c r="D112" s="45">
        <f>IF(EOMONTH(in_OtHydra_D,0)=EOMONTH(D$23,0),IF($B$3="Lean",in_OtHydra_L,in_OtHydra_S),0)*in_HydraOn</f>
        <v/>
      </c>
      <c r="E112" s="45">
        <f>IF(EOMONTH(in_OtHydra_D,0)=EOMONTH(E$23,0),IF($B$3="Lean",in_OtHydra_L,in_OtHydra_S),0)*in_HydraOn</f>
        <v/>
      </c>
      <c r="F112" s="45">
        <f>IF(EOMONTH(in_OtHydra_D,0)=EOMONTH(F$23,0),IF($B$3="Lean",in_OtHydra_L,in_OtHydra_S),0)*in_HydraOn</f>
        <v/>
      </c>
      <c r="G112" s="45">
        <f>IF(EOMONTH(in_OtHydra_D,0)=EOMONTH(G$23,0),IF($B$3="Lean",in_OtHydra_L,in_OtHydra_S),0)*in_HydraOn</f>
        <v/>
      </c>
      <c r="H112" s="45">
        <f>IF(EOMONTH(in_OtHydra_D,0)=EOMONTH(H$23,0),IF($B$3="Lean",in_OtHydra_L,in_OtHydra_S),0)*in_HydraOn</f>
        <v/>
      </c>
      <c r="I112" s="45">
        <f>IF(EOMONTH(in_OtHydra_D,0)=EOMONTH(I$23,0),IF($B$3="Lean",in_OtHydra_L,in_OtHydra_S),0)*in_HydraOn</f>
        <v/>
      </c>
      <c r="J112" s="45">
        <f>IF(EOMONTH(in_OtHydra_D,0)=EOMONTH(J$23,0),IF($B$3="Lean",in_OtHydra_L,in_OtHydra_S),0)*in_HydraOn</f>
        <v/>
      </c>
      <c r="K112" s="45">
        <f>IF(EOMONTH(in_OtHydra_D,0)=EOMONTH(K$23,0),IF($B$3="Lean",in_OtHydra_L,in_OtHydra_S),0)*in_HydraOn</f>
        <v/>
      </c>
      <c r="L112" s="45">
        <f>IF(EOMONTH(in_OtHydra_D,0)=EOMONTH(L$23,0),IF($B$3="Lean",in_OtHydra_L,in_OtHydra_S),0)*in_HydraOn</f>
        <v/>
      </c>
      <c r="M112" s="45">
        <f>IF(EOMONTH(in_OtHydra_D,0)=EOMONTH(M$23,0),IF($B$3="Lean",in_OtHydra_L,in_OtHydra_S),0)*in_HydraOn</f>
        <v/>
      </c>
      <c r="N112" s="45">
        <f>IF(EOMONTH(in_OtHydra_D,0)=EOMONTH(N$23,0),IF($B$3="Lean",in_OtHydra_L,in_OtHydra_S),0)*in_HydraOn</f>
        <v/>
      </c>
      <c r="O112" s="45">
        <f>IF(EOMONTH(in_OtHydra_D,0)=EOMONTH(O$23,0),IF($B$3="Lean",in_OtHydra_L,in_OtHydra_S),0)*in_HydraOn</f>
        <v/>
      </c>
      <c r="P112" s="45">
        <f>IF(EOMONTH(in_OtHydra_D,0)=EOMONTH(P$23,0),IF($B$3="Lean",in_OtHydra_L,in_OtHydra_S),0)*in_HydraOn</f>
        <v/>
      </c>
      <c r="Q112" s="45">
        <f>IF(EOMONTH(in_OtHydra_D,0)=EOMONTH(Q$23,0),IF($B$3="Lean",in_OtHydra_L,in_OtHydra_S),0)*in_HydraOn</f>
        <v/>
      </c>
      <c r="R112" s="46">
        <f>SUM(C112:Q112)</f>
        <v/>
      </c>
    </row>
    <row r="113">
      <c r="A113" s="10" t="inlineStr">
        <is>
          <t>Second protein flavour: samples and development</t>
        </is>
      </c>
      <c r="C113" s="45">
        <f>IF(EOMONTH(in_OtFlavor2_D,0)=EOMONTH(C$23,0),IF($B$3="Lean",in_OtFlavor2_L,in_OtFlavor2_S),0)*in_Flavor2On</f>
        <v/>
      </c>
      <c r="D113" s="45">
        <f>IF(EOMONTH(in_OtFlavor2_D,0)=EOMONTH(D$23,0),IF($B$3="Lean",in_OtFlavor2_L,in_OtFlavor2_S),0)*in_Flavor2On</f>
        <v/>
      </c>
      <c r="E113" s="45">
        <f>IF(EOMONTH(in_OtFlavor2_D,0)=EOMONTH(E$23,0),IF($B$3="Lean",in_OtFlavor2_L,in_OtFlavor2_S),0)*in_Flavor2On</f>
        <v/>
      </c>
      <c r="F113" s="45">
        <f>IF(EOMONTH(in_OtFlavor2_D,0)=EOMONTH(F$23,0),IF($B$3="Lean",in_OtFlavor2_L,in_OtFlavor2_S),0)*in_Flavor2On</f>
        <v/>
      </c>
      <c r="G113" s="45">
        <f>IF(EOMONTH(in_OtFlavor2_D,0)=EOMONTH(G$23,0),IF($B$3="Lean",in_OtFlavor2_L,in_OtFlavor2_S),0)*in_Flavor2On</f>
        <v/>
      </c>
      <c r="H113" s="45">
        <f>IF(EOMONTH(in_OtFlavor2_D,0)=EOMONTH(H$23,0),IF($B$3="Lean",in_OtFlavor2_L,in_OtFlavor2_S),0)*in_Flavor2On</f>
        <v/>
      </c>
      <c r="I113" s="45">
        <f>IF(EOMONTH(in_OtFlavor2_D,0)=EOMONTH(I$23,0),IF($B$3="Lean",in_OtFlavor2_L,in_OtFlavor2_S),0)*in_Flavor2On</f>
        <v/>
      </c>
      <c r="J113" s="45">
        <f>IF(EOMONTH(in_OtFlavor2_D,0)=EOMONTH(J$23,0),IF($B$3="Lean",in_OtFlavor2_L,in_OtFlavor2_S),0)*in_Flavor2On</f>
        <v/>
      </c>
      <c r="K113" s="45">
        <f>IF(EOMONTH(in_OtFlavor2_D,0)=EOMONTH(K$23,0),IF($B$3="Lean",in_OtFlavor2_L,in_OtFlavor2_S),0)*in_Flavor2On</f>
        <v/>
      </c>
      <c r="L113" s="45">
        <f>IF(EOMONTH(in_OtFlavor2_D,0)=EOMONTH(L$23,0),IF($B$3="Lean",in_OtFlavor2_L,in_OtFlavor2_S),0)*in_Flavor2On</f>
        <v/>
      </c>
      <c r="M113" s="45">
        <f>IF(EOMONTH(in_OtFlavor2_D,0)=EOMONTH(M$23,0),IF($B$3="Lean",in_OtFlavor2_L,in_OtFlavor2_S),0)*in_Flavor2On</f>
        <v/>
      </c>
      <c r="N113" s="45">
        <f>IF(EOMONTH(in_OtFlavor2_D,0)=EOMONTH(N$23,0),IF($B$3="Lean",in_OtFlavor2_L,in_OtFlavor2_S),0)*in_Flavor2On</f>
        <v/>
      </c>
      <c r="O113" s="45">
        <f>IF(EOMONTH(in_OtFlavor2_D,0)=EOMONTH(O$23,0),IF($B$3="Lean",in_OtFlavor2_L,in_OtFlavor2_S),0)*in_Flavor2On</f>
        <v/>
      </c>
      <c r="P113" s="45">
        <f>IF(EOMONTH(in_OtFlavor2_D,0)=EOMONTH(P$23,0),IF($B$3="Lean",in_OtFlavor2_L,in_OtFlavor2_S),0)*in_Flavor2On</f>
        <v/>
      </c>
      <c r="Q113" s="45">
        <f>IF(EOMONTH(in_OtFlavor2_D,0)=EOMONTH(Q$23,0),IF($B$3="Lean",in_OtFlavor2_L,in_OtFlavor2_S),0)*in_Flavor2On</f>
        <v/>
      </c>
      <c r="R113" s="46">
        <f>SUM(C113:Q113)</f>
        <v/>
      </c>
    </row>
    <row r="114">
      <c r="A114" s="10" t="inlineStr">
        <is>
          <t>Optional: Picked Creatine via Supliful</t>
        </is>
      </c>
      <c r="C114" s="45">
        <f>IF(EOMONTH(in_OtCreatine_D,0)=EOMONTH(C$23,0),IF($B$3="Lean",in_OtCreatine_L,in_OtCreatine_S),0)</f>
        <v/>
      </c>
      <c r="D114" s="45">
        <f>IF(EOMONTH(in_OtCreatine_D,0)=EOMONTH(D$23,0),IF($B$3="Lean",in_OtCreatine_L,in_OtCreatine_S),0)</f>
        <v/>
      </c>
      <c r="E114" s="45">
        <f>IF(EOMONTH(in_OtCreatine_D,0)=EOMONTH(E$23,0),IF($B$3="Lean",in_OtCreatine_L,in_OtCreatine_S),0)</f>
        <v/>
      </c>
      <c r="F114" s="45">
        <f>IF(EOMONTH(in_OtCreatine_D,0)=EOMONTH(F$23,0),IF($B$3="Lean",in_OtCreatine_L,in_OtCreatine_S),0)</f>
        <v/>
      </c>
      <c r="G114" s="45">
        <f>IF(EOMONTH(in_OtCreatine_D,0)=EOMONTH(G$23,0),IF($B$3="Lean",in_OtCreatine_L,in_OtCreatine_S),0)</f>
        <v/>
      </c>
      <c r="H114" s="45">
        <f>IF(EOMONTH(in_OtCreatine_D,0)=EOMONTH(H$23,0),IF($B$3="Lean",in_OtCreatine_L,in_OtCreatine_S),0)</f>
        <v/>
      </c>
      <c r="I114" s="45">
        <f>IF(EOMONTH(in_OtCreatine_D,0)=EOMONTH(I$23,0),IF($B$3="Lean",in_OtCreatine_L,in_OtCreatine_S),0)</f>
        <v/>
      </c>
      <c r="J114" s="45">
        <f>IF(EOMONTH(in_OtCreatine_D,0)=EOMONTH(J$23,0),IF($B$3="Lean",in_OtCreatine_L,in_OtCreatine_S),0)</f>
        <v/>
      </c>
      <c r="K114" s="45">
        <f>IF(EOMONTH(in_OtCreatine_D,0)=EOMONTH(K$23,0),IF($B$3="Lean",in_OtCreatine_L,in_OtCreatine_S),0)</f>
        <v/>
      </c>
      <c r="L114" s="45">
        <f>IF(EOMONTH(in_OtCreatine_D,0)=EOMONTH(L$23,0),IF($B$3="Lean",in_OtCreatine_L,in_OtCreatine_S),0)</f>
        <v/>
      </c>
      <c r="M114" s="45">
        <f>IF(EOMONTH(in_OtCreatine_D,0)=EOMONTH(M$23,0),IF($B$3="Lean",in_OtCreatine_L,in_OtCreatine_S),0)</f>
        <v/>
      </c>
      <c r="N114" s="45">
        <f>IF(EOMONTH(in_OtCreatine_D,0)=EOMONTH(N$23,0),IF($B$3="Lean",in_OtCreatine_L,in_OtCreatine_S),0)</f>
        <v/>
      </c>
      <c r="O114" s="45">
        <f>IF(EOMONTH(in_OtCreatine_D,0)=EOMONTH(O$23,0),IF($B$3="Lean",in_OtCreatine_L,in_OtCreatine_S),0)</f>
        <v/>
      </c>
      <c r="P114" s="45">
        <f>IF(EOMONTH(in_OtCreatine_D,0)=EOMONTH(P$23,0),IF($B$3="Lean",in_OtCreatine_L,in_OtCreatine_S),0)</f>
        <v/>
      </c>
      <c r="Q114" s="45">
        <f>IF(EOMONTH(in_OtCreatine_D,0)=EOMONTH(Q$23,0),IF($B$3="Lean",in_OtCreatine_L,in_OtCreatine_S),0)</f>
        <v/>
      </c>
      <c r="R114" s="46">
        <f>SUM(C114:Q114)</f>
        <v/>
      </c>
    </row>
    <row r="115">
      <c r="A115" s="26" t="inlineStr">
        <is>
          <t>Total one-time launch costs</t>
        </is>
      </c>
      <c r="C115" s="47">
        <f>SUM(C108:C114)</f>
        <v/>
      </c>
      <c r="D115" s="47">
        <f>SUM(D108:D114)</f>
        <v/>
      </c>
      <c r="E115" s="47">
        <f>SUM(E108:E114)</f>
        <v/>
      </c>
      <c r="F115" s="47">
        <f>SUM(F108:F114)</f>
        <v/>
      </c>
      <c r="G115" s="47">
        <f>SUM(G108:G114)</f>
        <v/>
      </c>
      <c r="H115" s="47">
        <f>SUM(H108:H114)</f>
        <v/>
      </c>
      <c r="I115" s="47">
        <f>SUM(I108:I114)</f>
        <v/>
      </c>
      <c r="J115" s="47">
        <f>SUM(J108:J114)</f>
        <v/>
      </c>
      <c r="K115" s="47">
        <f>SUM(K108:K114)</f>
        <v/>
      </c>
      <c r="L115" s="47">
        <f>SUM(L108:L114)</f>
        <v/>
      </c>
      <c r="M115" s="47">
        <f>SUM(M108:M114)</f>
        <v/>
      </c>
      <c r="N115" s="47">
        <f>SUM(N108:N114)</f>
        <v/>
      </c>
      <c r="O115" s="47">
        <f>SUM(O108:O114)</f>
        <v/>
      </c>
      <c r="P115" s="47">
        <f>SUM(P108:P114)</f>
        <v/>
      </c>
      <c r="Q115" s="47">
        <f>SUM(Q108:Q114)</f>
        <v/>
      </c>
      <c r="R115" s="46">
        <f>SUM(C115:Q115)</f>
        <v/>
      </c>
    </row>
    <row r="117">
      <c r="A117" s="7" t="inlineStr">
        <is>
          <t>Cash position</t>
        </is>
      </c>
      <c r="B117" s="8" t="n"/>
      <c r="C117" s="8" t="n"/>
      <c r="D117" s="8" t="n"/>
      <c r="E117" s="8" t="n"/>
      <c r="F117" s="8" t="n"/>
      <c r="G117" s="8" t="n"/>
      <c r="H117" s="8" t="n"/>
      <c r="I117" s="8" t="n"/>
      <c r="J117" s="8" t="n"/>
      <c r="K117" s="8" t="n"/>
      <c r="L117" s="8" t="n"/>
      <c r="M117" s="8" t="n"/>
      <c r="N117" s="8" t="n"/>
      <c r="O117" s="8" t="n"/>
      <c r="P117" s="8" t="n"/>
      <c r="Q117" s="8" t="n"/>
      <c r="R117" s="8" t="n"/>
    </row>
    <row r="118">
      <c r="A118" s="26" t="inlineStr">
        <is>
          <t>Net cash flow</t>
        </is>
      </c>
      <c r="C118" s="47">
        <f>C77-C84-C91-C96-C105-C115</f>
        <v/>
      </c>
      <c r="D118" s="47">
        <f>D77-D84-D91-D96-D105-D115</f>
        <v/>
      </c>
      <c r="E118" s="47">
        <f>E77-E84-E91-E96-E105-E115</f>
        <v/>
      </c>
      <c r="F118" s="47">
        <f>F77-F84-F91-F96-F105-F115</f>
        <v/>
      </c>
      <c r="G118" s="47">
        <f>G77-G84-G91-G96-G105-G115</f>
        <v/>
      </c>
      <c r="H118" s="47">
        <f>H77-H84-H91-H96-H105-H115</f>
        <v/>
      </c>
      <c r="I118" s="47">
        <f>I77-I84-I91-I96-I105-I115</f>
        <v/>
      </c>
      <c r="J118" s="47">
        <f>J77-J84-J91-J96-J105-J115</f>
        <v/>
      </c>
      <c r="K118" s="47">
        <f>K77-K84-K91-K96-K105-K115</f>
        <v/>
      </c>
      <c r="L118" s="47">
        <f>L77-L84-L91-L96-L105-L115</f>
        <v/>
      </c>
      <c r="M118" s="47">
        <f>M77-M84-M91-M96-M105-M115</f>
        <v/>
      </c>
      <c r="N118" s="47">
        <f>N77-N84-N91-N96-N105-N115</f>
        <v/>
      </c>
      <c r="O118" s="47">
        <f>O77-O84-O91-O96-O105-O115</f>
        <v/>
      </c>
      <c r="P118" s="47">
        <f>P77-P84-P91-P96-P105-P115</f>
        <v/>
      </c>
      <c r="Q118" s="47">
        <f>Q77-Q84-Q91-Q96-Q105-Q115</f>
        <v/>
      </c>
      <c r="R118" s="46">
        <f>SUM(C118:Q118)</f>
        <v/>
      </c>
    </row>
    <row r="119">
      <c r="A119" s="10" t="inlineStr">
        <is>
          <t>Cumulative net cash flow</t>
        </is>
      </c>
      <c r="C119" s="45">
        <f>C118</f>
        <v/>
      </c>
      <c r="D119" s="45">
        <f>C119+D118</f>
        <v/>
      </c>
      <c r="E119" s="45">
        <f>D119+E118</f>
        <v/>
      </c>
      <c r="F119" s="45">
        <f>E119+F118</f>
        <v/>
      </c>
      <c r="G119" s="45">
        <f>F119+G118</f>
        <v/>
      </c>
      <c r="H119" s="45">
        <f>G119+H118</f>
        <v/>
      </c>
      <c r="I119" s="45">
        <f>H119+I118</f>
        <v/>
      </c>
      <c r="J119" s="45">
        <f>I119+J118</f>
        <v/>
      </c>
      <c r="K119" s="45">
        <f>J119+K118</f>
        <v/>
      </c>
      <c r="L119" s="45">
        <f>K119+L118</f>
        <v/>
      </c>
      <c r="M119" s="45">
        <f>L119+M118</f>
        <v/>
      </c>
      <c r="N119" s="45">
        <f>M119+N118</f>
        <v/>
      </c>
      <c r="O119" s="45">
        <f>N119+O118</f>
        <v/>
      </c>
      <c r="P119" s="45">
        <f>O119+P118</f>
        <v/>
      </c>
      <c r="Q119" s="45">
        <f>P119+Q118</f>
        <v/>
      </c>
    </row>
    <row r="120">
      <c r="A120" s="26" t="inlineStr">
        <is>
          <t>Cash balance (starting cash + cumulative)</t>
        </is>
      </c>
      <c r="C120" s="47">
        <f>in_StartCash+C119</f>
        <v/>
      </c>
      <c r="D120" s="47">
        <f>in_StartCash+D119</f>
        <v/>
      </c>
      <c r="E120" s="47">
        <f>in_StartCash+E119</f>
        <v/>
      </c>
      <c r="F120" s="47">
        <f>in_StartCash+F119</f>
        <v/>
      </c>
      <c r="G120" s="47">
        <f>in_StartCash+G119</f>
        <v/>
      </c>
      <c r="H120" s="47">
        <f>in_StartCash+H119</f>
        <v/>
      </c>
      <c r="I120" s="47">
        <f>in_StartCash+I119</f>
        <v/>
      </c>
      <c r="J120" s="47">
        <f>in_StartCash+J119</f>
        <v/>
      </c>
      <c r="K120" s="47">
        <f>in_StartCash+K119</f>
        <v/>
      </c>
      <c r="L120" s="47">
        <f>in_StartCash+L119</f>
        <v/>
      </c>
      <c r="M120" s="47">
        <f>in_StartCash+M119</f>
        <v/>
      </c>
      <c r="N120" s="47">
        <f>in_StartCash+N119</f>
        <v/>
      </c>
      <c r="O120" s="47">
        <f>in_StartCash+O119</f>
        <v/>
      </c>
      <c r="P120" s="47">
        <f>in_StartCash+P119</f>
        <v/>
      </c>
      <c r="Q120" s="47">
        <f>in_StartCash+Q119</f>
        <v/>
      </c>
    </row>
    <row r="121">
      <c r="A121" s="10" t="inlineStr">
        <is>
          <t>Lowest cash month</t>
        </is>
      </c>
      <c r="B121" s="6" t="inlineStr">
        <is>
          <t>Flags the low point</t>
        </is>
      </c>
      <c r="C121" s="10">
        <f>IF(C120=MIN($C$120:$Q$120),"LOWEST","")</f>
        <v/>
      </c>
      <c r="D121" s="10">
        <f>IF(D120=MIN($C$120:$Q$120),"LOWEST","")</f>
        <v/>
      </c>
      <c r="E121" s="10">
        <f>IF(E120=MIN($C$120:$Q$120),"LOWEST","")</f>
        <v/>
      </c>
      <c r="F121" s="10">
        <f>IF(F120=MIN($C$120:$Q$120),"LOWEST","")</f>
        <v/>
      </c>
      <c r="G121" s="10">
        <f>IF(G120=MIN($C$120:$Q$120),"LOWEST","")</f>
        <v/>
      </c>
      <c r="H121" s="10">
        <f>IF(H120=MIN($C$120:$Q$120),"LOWEST","")</f>
        <v/>
      </c>
      <c r="I121" s="10">
        <f>IF(I120=MIN($C$120:$Q$120),"LOWEST","")</f>
        <v/>
      </c>
      <c r="J121" s="10">
        <f>IF(J120=MIN($C$120:$Q$120),"LOWEST","")</f>
        <v/>
      </c>
      <c r="K121" s="10">
        <f>IF(K120=MIN($C$120:$Q$120),"LOWEST","")</f>
        <v/>
      </c>
      <c r="L121" s="10">
        <f>IF(L120=MIN($C$120:$Q$120),"LOWEST","")</f>
        <v/>
      </c>
      <c r="M121" s="10">
        <f>IF(M120=MIN($C$120:$Q$120),"LOWEST","")</f>
        <v/>
      </c>
      <c r="N121" s="10">
        <f>IF(N120=MIN($C$120:$Q$120),"LOWEST","")</f>
        <v/>
      </c>
      <c r="O121" s="10">
        <f>IF(O120=MIN($C$120:$Q$120),"LOWEST","")</f>
        <v/>
      </c>
      <c r="P121" s="10">
        <f>IF(P120=MIN($C$120:$Q$120),"LOWEST","")</f>
        <v/>
      </c>
      <c r="Q121" s="10">
        <f>IF(Q120=MIN($C$120:$Q$120),"LOWEST","")</f>
        <v/>
      </c>
    </row>
    <row r="123">
      <c r="A123" s="7" t="inlineStr">
        <is>
          <t>Operating view (accrual memo: COGS on units sold, launch costs excluded)</t>
        </is>
      </c>
      <c r="B123" s="8" t="n"/>
      <c r="C123" s="8" t="n"/>
      <c r="D123" s="8" t="n"/>
      <c r="E123" s="8" t="n"/>
      <c r="F123" s="8" t="n"/>
      <c r="G123" s="8" t="n"/>
      <c r="H123" s="8" t="n"/>
      <c r="I123" s="8" t="n"/>
      <c r="J123" s="8" t="n"/>
      <c r="K123" s="8" t="n"/>
      <c r="L123" s="8" t="n"/>
      <c r="M123" s="8" t="n"/>
      <c r="N123" s="8" t="n"/>
      <c r="O123" s="8" t="n"/>
      <c r="P123" s="8" t="n"/>
      <c r="Q123" s="8" t="n"/>
      <c r="R123" s="8" t="n"/>
    </row>
    <row r="124">
      <c r="A124" s="10" t="inlineStr">
        <is>
          <t>Revenue (DTC + wholesale invoiced)</t>
        </is>
      </c>
      <c r="C124" s="45">
        <f>C74+C75</f>
        <v/>
      </c>
      <c r="D124" s="45">
        <f>D74+D75</f>
        <v/>
      </c>
      <c r="E124" s="45">
        <f>E74+E75</f>
        <v/>
      </c>
      <c r="F124" s="45">
        <f>F74+F75</f>
        <v/>
      </c>
      <c r="G124" s="45">
        <f>G74+G75</f>
        <v/>
      </c>
      <c r="H124" s="45">
        <f>H74+H75</f>
        <v/>
      </c>
      <c r="I124" s="45">
        <f>I74+I75</f>
        <v/>
      </c>
      <c r="J124" s="45">
        <f>J74+J75</f>
        <v/>
      </c>
      <c r="K124" s="45">
        <f>K74+K75</f>
        <v/>
      </c>
      <c r="L124" s="45">
        <f>L74+L75</f>
        <v/>
      </c>
      <c r="M124" s="45">
        <f>M74+M75</f>
        <v/>
      </c>
      <c r="N124" s="45">
        <f>N74+N75</f>
        <v/>
      </c>
      <c r="O124" s="45">
        <f>O74+O75</f>
        <v/>
      </c>
      <c r="P124" s="45">
        <f>P74+P75</f>
        <v/>
      </c>
      <c r="Q124" s="45">
        <f>Q74+Q75</f>
        <v/>
      </c>
      <c r="R124" s="46">
        <f>SUM(C124:Q124)</f>
        <v/>
      </c>
    </row>
    <row r="125">
      <c r="A125" s="10" t="inlineStr">
        <is>
          <t>COGS on units sold</t>
        </is>
      </c>
      <c r="C125" s="45">
        <f>C53*$B$6+C64*$B$7</f>
        <v/>
      </c>
      <c r="D125" s="45">
        <f>D53*$B$6+D64*$B$7</f>
        <v/>
      </c>
      <c r="E125" s="45">
        <f>E53*$B$6+E64*$B$7</f>
        <v/>
      </c>
      <c r="F125" s="45">
        <f>F53*$B$6+F64*$B$7</f>
        <v/>
      </c>
      <c r="G125" s="45">
        <f>G53*$B$6+G64*$B$7</f>
        <v/>
      </c>
      <c r="H125" s="45">
        <f>H53*$B$6+H64*$B$7</f>
        <v/>
      </c>
      <c r="I125" s="45">
        <f>I53*$B$6+I64*$B$7</f>
        <v/>
      </c>
      <c r="J125" s="45">
        <f>J53*$B$6+J64*$B$7</f>
        <v/>
      </c>
      <c r="K125" s="45">
        <f>K53*$B$6+K64*$B$7</f>
        <v/>
      </c>
      <c r="L125" s="45">
        <f>L53*$B$6+L64*$B$7</f>
        <v/>
      </c>
      <c r="M125" s="45">
        <f>M53*$B$6+M64*$B$7</f>
        <v/>
      </c>
      <c r="N125" s="45">
        <f>N53*$B$6+N64*$B$7</f>
        <v/>
      </c>
      <c r="O125" s="45">
        <f>O53*$B$6+O64*$B$7</f>
        <v/>
      </c>
      <c r="P125" s="45">
        <f>P53*$B$6+P64*$B$7</f>
        <v/>
      </c>
      <c r="Q125" s="45">
        <f>Q53*$B$6+Q64*$B$7</f>
        <v/>
      </c>
      <c r="R125" s="46">
        <f>SUM(C125:Q125)</f>
        <v/>
      </c>
    </row>
    <row r="126">
      <c r="A126" s="26" t="inlineStr">
        <is>
          <t>Operating profit (revenue - COGS - variable - marketing - fixed)</t>
        </is>
      </c>
      <c r="C126" s="47">
        <f>C124-C125-C91-C96-C105</f>
        <v/>
      </c>
      <c r="D126" s="47">
        <f>D124-D125-D91-D96-D105</f>
        <v/>
      </c>
      <c r="E126" s="47">
        <f>E124-E125-E91-E96-E105</f>
        <v/>
      </c>
      <c r="F126" s="47">
        <f>F124-F125-F91-F96-F105</f>
        <v/>
      </c>
      <c r="G126" s="47">
        <f>G124-G125-G91-G96-G105</f>
        <v/>
      </c>
      <c r="H126" s="47">
        <f>H124-H125-H91-H96-H105</f>
        <v/>
      </c>
      <c r="I126" s="47">
        <f>I124-I125-I91-I96-I105</f>
        <v/>
      </c>
      <c r="J126" s="47">
        <f>J124-J125-J91-J96-J105</f>
        <v/>
      </c>
      <c r="K126" s="47">
        <f>K124-K125-K91-K96-K105</f>
        <v/>
      </c>
      <c r="L126" s="47">
        <f>L124-L125-L91-L96-L105</f>
        <v/>
      </c>
      <c r="M126" s="47">
        <f>M124-M125-M91-M96-M105</f>
        <v/>
      </c>
      <c r="N126" s="47">
        <f>N124-N125-N91-N96-N105</f>
        <v/>
      </c>
      <c r="O126" s="47">
        <f>O124-O125-O91-O96-O105</f>
        <v/>
      </c>
      <c r="P126" s="47">
        <f>P124-P125-P91-P96-P105</f>
        <v/>
      </c>
      <c r="Q126" s="47">
        <f>Q124-Q125-Q91-Q96-Q105</f>
        <v/>
      </c>
      <c r="R126" s="46">
        <f>SUM(C126:Q126)</f>
        <v/>
      </c>
    </row>
    <row r="127">
      <c r="A127" s="10" t="inlineStr">
        <is>
          <t>Operating break-even flag (1 = profit &gt;= 0 while selling)</t>
        </is>
      </c>
      <c r="C127" s="39">
        <f>IF(AND(C24=1,C126&gt;=0),1,0)</f>
        <v/>
      </c>
      <c r="D127" s="39">
        <f>IF(AND(D24=1,D126&gt;=0),1,0)</f>
        <v/>
      </c>
      <c r="E127" s="39">
        <f>IF(AND(E24=1,E126&gt;=0),1,0)</f>
        <v/>
      </c>
      <c r="F127" s="39">
        <f>IF(AND(F24=1,F126&gt;=0),1,0)</f>
        <v/>
      </c>
      <c r="G127" s="39">
        <f>IF(AND(G24=1,G126&gt;=0),1,0)</f>
        <v/>
      </c>
      <c r="H127" s="39">
        <f>IF(AND(H24=1,H126&gt;=0),1,0)</f>
        <v/>
      </c>
      <c r="I127" s="39">
        <f>IF(AND(I24=1,I126&gt;=0),1,0)</f>
        <v/>
      </c>
      <c r="J127" s="39">
        <f>IF(AND(J24=1,J126&gt;=0),1,0)</f>
        <v/>
      </c>
      <c r="K127" s="39">
        <f>IF(AND(K24=1,K126&gt;=0),1,0)</f>
        <v/>
      </c>
      <c r="L127" s="39">
        <f>IF(AND(L24=1,L126&gt;=0),1,0)</f>
        <v/>
      </c>
      <c r="M127" s="39">
        <f>IF(AND(M24=1,M126&gt;=0),1,0)</f>
        <v/>
      </c>
      <c r="N127" s="39">
        <f>IF(AND(N24=1,N126&gt;=0),1,0)</f>
        <v/>
      </c>
      <c r="O127" s="39">
        <f>IF(AND(O24=1,O126&gt;=0),1,0)</f>
        <v/>
      </c>
      <c r="P127" s="39">
        <f>IF(AND(P24=1,P126&gt;=0),1,0)</f>
        <v/>
      </c>
      <c r="Q127" s="39">
        <f>IF(AND(Q24=1,Q126&gt;=0),1,0)</f>
        <v/>
      </c>
    </row>
    <row r="128">
      <c r="A128" s="10" t="inlineStr">
        <is>
          <t>Cash payback flag (1 = cumulative net cash &gt;= 0 while selling)</t>
        </is>
      </c>
      <c r="C128" s="39">
        <f>IF(AND(C24=1,C119&gt;=0),1,0)</f>
        <v/>
      </c>
      <c r="D128" s="39">
        <f>IF(AND(D24=1,D119&gt;=0),1,0)</f>
        <v/>
      </c>
      <c r="E128" s="39">
        <f>IF(AND(E24=1,E119&gt;=0),1,0)</f>
        <v/>
      </c>
      <c r="F128" s="39">
        <f>IF(AND(F24=1,F119&gt;=0),1,0)</f>
        <v/>
      </c>
      <c r="G128" s="39">
        <f>IF(AND(G24=1,G119&gt;=0),1,0)</f>
        <v/>
      </c>
      <c r="H128" s="39">
        <f>IF(AND(H24=1,H119&gt;=0),1,0)</f>
        <v/>
      </c>
      <c r="I128" s="39">
        <f>IF(AND(I24=1,I119&gt;=0),1,0)</f>
        <v/>
      </c>
      <c r="J128" s="39">
        <f>IF(AND(J24=1,J119&gt;=0),1,0)</f>
        <v/>
      </c>
      <c r="K128" s="39">
        <f>IF(AND(K24=1,K119&gt;=0),1,0)</f>
        <v/>
      </c>
      <c r="L128" s="39">
        <f>IF(AND(L24=1,L119&gt;=0),1,0)</f>
        <v/>
      </c>
      <c r="M128" s="39">
        <f>IF(AND(M24=1,M119&gt;=0),1,0)</f>
        <v/>
      </c>
      <c r="N128" s="39">
        <f>IF(AND(N24=1,N119&gt;=0),1,0)</f>
        <v/>
      </c>
      <c r="O128" s="39">
        <f>IF(AND(O24=1,O119&gt;=0),1,0)</f>
        <v/>
      </c>
      <c r="P128" s="39">
        <f>IF(AND(P24=1,P119&gt;=0),1,0)</f>
        <v/>
      </c>
      <c r="Q128" s="39">
        <f>IF(AND(Q24=1,Q119&gt;=0),1,0)</f>
        <v/>
      </c>
    </row>
    <row r="129">
      <c r="A129" s="10" t="inlineStr">
        <is>
          <t>Closing inventory at cost</t>
        </is>
      </c>
      <c r="C129" s="45">
        <f>C55*$B$6+C66*$B$7</f>
        <v/>
      </c>
      <c r="D129" s="45">
        <f>D55*$B$6+D66*$B$7</f>
        <v/>
      </c>
      <c r="E129" s="45">
        <f>E55*$B$6+E66*$B$7</f>
        <v/>
      </c>
      <c r="F129" s="45">
        <f>F55*$B$6+F66*$B$7</f>
        <v/>
      </c>
      <c r="G129" s="45">
        <f>G55*$B$6+G66*$B$7</f>
        <v/>
      </c>
      <c r="H129" s="45">
        <f>H55*$B$6+H66*$B$7</f>
        <v/>
      </c>
      <c r="I129" s="45">
        <f>I55*$B$6+I66*$B$7</f>
        <v/>
      </c>
      <c r="J129" s="45">
        <f>J55*$B$6+J66*$B$7</f>
        <v/>
      </c>
      <c r="K129" s="45">
        <f>K55*$B$6+K66*$B$7</f>
        <v/>
      </c>
      <c r="L129" s="45">
        <f>L55*$B$6+L66*$B$7</f>
        <v/>
      </c>
      <c r="M129" s="45">
        <f>M55*$B$6+M66*$B$7</f>
        <v/>
      </c>
      <c r="N129" s="45">
        <f>N55*$B$6+N66*$B$7</f>
        <v/>
      </c>
      <c r="O129" s="45">
        <f>O55*$B$6+O66*$B$7</f>
        <v/>
      </c>
      <c r="P129" s="45">
        <f>P55*$B$6+P66*$B$7</f>
        <v/>
      </c>
      <c r="Q129" s="45">
        <f>Q55*$B$6+Q66*$B$7</f>
        <v/>
      </c>
    </row>
  </sheetData>
  <conditionalFormatting sqref="C120:Q120">
    <cfRule type="expression" priority="1" dxfId="0">
      <formula>C120=MIN($C$120:$Q$120)</formula>
    </cfRule>
  </conditionalFormatting>
  <conditionalFormatting sqref="C121:Q121">
    <cfRule type="expression" priority="2" dxfId="0">
      <formula>C121="LOWEST"</formula>
    </cfRule>
  </conditionalFormatting>
  <conditionalFormatting sqref="C118:Q118">
    <cfRule type="expression" priority="3" dxfId="1">
      <formula>C118&lt;0</formula>
    </cfRule>
  </conditionalFormatting>
  <conditionalFormatting sqref="C54:Q54">
    <cfRule type="expression" priority="4" dxfId="2">
      <formula>C54&gt;0</formula>
    </cfRule>
  </conditionalFormatting>
  <conditionalFormatting sqref="C65:Q65">
    <cfRule type="expression" priority="5" dxfId="2">
      <formula>C65&gt;0</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29"/>
  <sheetViews>
    <sheetView tabSelected="0" workbookViewId="0">
      <pane xSplit="2" ySplit="23" topLeftCell="C24" activePane="bottomRight" state="frozen"/>
      <selection pane="topRight"/>
      <selection pane="bottomLeft"/>
      <selection pane="bottomRight" activeCell="A1" sqref="A1"/>
    </sheetView>
  </sheetViews>
  <sheetFormatPr baseColWidth="8" defaultRowHeight="15"/>
  <cols>
    <col width="58" customWidth="1" min="1" max="1"/>
    <col width="16"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3" customWidth="1" min="18" max="18"/>
  </cols>
  <sheetData>
    <row r="1">
      <c r="A1" s="5" t="inlineStr">
        <is>
          <t>Calculation copy: Lean runs, Base demand (feeds Scenarios; do not edit)</t>
        </is>
      </c>
    </row>
    <row r="2">
      <c r="A2" s="6" t="inlineStr">
        <is>
          <t>Months Oct 2026 to Dec 2027. All figures are projections from the Inputs sheet, not actual results. Cash view: inventory is a cash outflow when bought; COGS appears only in the operating view at the bottom.</t>
        </is>
      </c>
    </row>
    <row r="3">
      <c r="A3" s="10" t="inlineStr">
        <is>
          <t>Run-size mode</t>
        </is>
      </c>
      <c r="B3" s="30">
        <f>"Lean"</f>
        <v/>
      </c>
    </row>
    <row r="4">
      <c r="A4" s="10" t="inlineStr">
        <is>
          <t>Demand multiplier</t>
        </is>
      </c>
      <c r="B4" s="31">
        <f>in_MultBase</f>
        <v/>
      </c>
    </row>
    <row r="5">
      <c r="A5" s="10" t="inlineStr">
        <is>
          <t>Demand case</t>
        </is>
      </c>
      <c r="B5" s="30">
        <f>"Base"</f>
        <v/>
      </c>
    </row>
    <row r="6">
      <c r="A6" s="10" t="inlineStr">
        <is>
          <t>Pouch cost of goods (by mode)</t>
        </is>
      </c>
      <c r="B6" s="32">
        <f>IF($B$3="Lean",in_CogsLean,in_CogsStd)</f>
        <v/>
      </c>
    </row>
    <row r="7">
      <c r="A7" s="10" t="inlineStr">
        <is>
          <t>Stick cost of goods (by mode)</t>
        </is>
      </c>
      <c r="B7" s="32">
        <f>IF($B$3="Lean",in_StickCogsLean,in_StickCogsStd)</f>
        <v/>
      </c>
    </row>
    <row r="8">
      <c r="A8" s="10" t="inlineStr">
        <is>
          <t>Pouch run size (by mode)</t>
        </is>
      </c>
      <c r="B8" s="33">
        <f>IF($B$3="Lean",in_RunLean,in_RunStd)</f>
        <v/>
      </c>
    </row>
    <row r="9">
      <c r="A9" s="10" t="inlineStr">
        <is>
          <t>Stick run size (by mode)</t>
        </is>
      </c>
      <c r="B9" s="33">
        <f>IF($B$3="Lean",in_StickRunLean,in_StickRunStd)</f>
        <v/>
      </c>
    </row>
    <row r="10">
      <c r="A10" s="10" t="inlineStr">
        <is>
          <t>Sample credit on first order (by mode)</t>
        </is>
      </c>
      <c r="B10" s="34">
        <f>IF($B$3="Lean",in_SampleCreditLean,in_SampleCreditStd)</f>
        <v/>
      </c>
    </row>
    <row r="12">
      <c r="A12" s="7" t="inlineStr">
        <is>
          <t>Summary for this sheet's mode and case</t>
        </is>
      </c>
      <c r="B12" s="8" t="n"/>
    </row>
    <row r="13">
      <c r="A13" s="10" t="inlineStr">
        <is>
          <t>Lowest cash balance</t>
        </is>
      </c>
      <c r="B13" s="35">
        <f>MIN($C$120:$Q$120)</f>
        <v/>
      </c>
    </row>
    <row r="14">
      <c r="A14" s="10" t="inlineStr">
        <is>
          <t>Month of lowest cash balance</t>
        </is>
      </c>
      <c r="B14" s="36">
        <f>INDEX($C$23:$Q$23,MATCH(MIN($C$120:$Q$120),$C$120:$Q$120,0))</f>
        <v/>
      </c>
    </row>
    <row r="15">
      <c r="A15" s="10" t="inlineStr">
        <is>
          <t>Peak funding need (lowest cumulative net cash flow)</t>
        </is>
      </c>
      <c r="B15" s="35">
        <f>MIN(0,MIN($C$119:$Q$119))</f>
        <v/>
      </c>
    </row>
    <row r="16">
      <c r="A16" s="10" t="inlineStr">
        <is>
          <t>Operating break-even month (first month operating profit &gt;= 0)</t>
        </is>
      </c>
      <c r="B16" s="36">
        <f>IFERROR(INDEX($C$23:$Q$23,MATCH(1,$C$127:$Q$127,0)),"Not by Dec 2027")</f>
        <v/>
      </c>
    </row>
    <row r="17">
      <c r="A17" s="10" t="inlineStr">
        <is>
          <t>Cash payback month (cumulative net cash flow back to &gt;= 0)</t>
        </is>
      </c>
      <c r="B17" s="36">
        <f>IFERROR(INDEX($C$23:$Q$23,MATCH(1,$C$128:$Q$128,0)),"Not by Dec 2027")</f>
        <v/>
      </c>
    </row>
    <row r="18">
      <c r="A18" s="10" t="inlineStr">
        <is>
          <t>Cash balance, end of Jun 2027</t>
        </is>
      </c>
      <c r="B18" s="35">
        <f>IFERROR(INDEX($C$120:$Q$120,MATCH(DATE(2027,6,1),$C$23:$Q$23,0)),"n/a")</f>
        <v/>
      </c>
    </row>
    <row r="19">
      <c r="A19" s="10" t="inlineStr">
        <is>
          <t>Cash balance, end of Dec 2027</t>
        </is>
      </c>
      <c r="B19" s="35">
        <f>IFERROR(INDEX($C$120:$Q$120,MATCH(DATE(2027,12,1),$C$23:$Q$23,0)),"n/a")</f>
        <v/>
      </c>
    </row>
    <row r="20">
      <c r="A20" s="10" t="inlineStr">
        <is>
          <t>Stockout check (pouch + stick units short; should be 0)</t>
        </is>
      </c>
      <c r="B20" s="37">
        <f>SUM($C$54:$Q$54)+SUM($C$65:$Q$65)</f>
        <v/>
      </c>
    </row>
    <row r="21">
      <c r="A21" s="10" t="inlineStr">
        <is>
          <t>Operating profit, Oct 2026 to Dec 2027 (launch costs excluded)</t>
        </is>
      </c>
      <c r="B21" s="35">
        <f>SUM($C$126:$Q$126)</f>
        <v/>
      </c>
    </row>
    <row r="23">
      <c r="A23" s="9" t="inlineStr">
        <is>
          <t>Line</t>
        </is>
      </c>
      <c r="B23" s="9" t="inlineStr">
        <is>
          <t>Note</t>
        </is>
      </c>
      <c r="C23" s="38">
        <f>DATE(YEAR(in_ModelStart),MONTH(in_ModelStart),1)</f>
        <v/>
      </c>
      <c r="D23" s="38">
        <f>EDATE(C23,1)</f>
        <v/>
      </c>
      <c r="E23" s="38">
        <f>EDATE(D23,1)</f>
        <v/>
      </c>
      <c r="F23" s="38">
        <f>EDATE(E23,1)</f>
        <v/>
      </c>
      <c r="G23" s="38">
        <f>EDATE(F23,1)</f>
        <v/>
      </c>
      <c r="H23" s="38">
        <f>EDATE(G23,1)</f>
        <v/>
      </c>
      <c r="I23" s="38">
        <f>EDATE(H23,1)</f>
        <v/>
      </c>
      <c r="J23" s="38">
        <f>EDATE(I23,1)</f>
        <v/>
      </c>
      <c r="K23" s="38">
        <f>EDATE(J23,1)</f>
        <v/>
      </c>
      <c r="L23" s="38">
        <f>EDATE(K23,1)</f>
        <v/>
      </c>
      <c r="M23" s="38">
        <f>EDATE(L23,1)</f>
        <v/>
      </c>
      <c r="N23" s="38">
        <f>EDATE(M23,1)</f>
        <v/>
      </c>
      <c r="O23" s="38">
        <f>EDATE(N23,1)</f>
        <v/>
      </c>
      <c r="P23" s="38">
        <f>EDATE(O23,1)</f>
        <v/>
      </c>
      <c r="Q23" s="38">
        <f>EDATE(P23,1)</f>
        <v/>
      </c>
      <c r="R23" s="9" t="inlineStr">
        <is>
          <t>Total</t>
        </is>
      </c>
    </row>
    <row r="24">
      <c r="A24" s="10" t="inlineStr">
        <is>
          <t>Selling? (1 from the first ship month)</t>
        </is>
      </c>
      <c r="C24" s="39">
        <f>IF(C$23&gt;=DATE(YEAR(in_FirstShip),MONTH(in_FirstShip),1),1,0)</f>
        <v/>
      </c>
      <c r="D24" s="39">
        <f>IF(D$23&gt;=DATE(YEAR(in_FirstShip),MONTH(in_FirstShip),1),1,0)</f>
        <v/>
      </c>
      <c r="E24" s="39">
        <f>IF(E$23&gt;=DATE(YEAR(in_FirstShip),MONTH(in_FirstShip),1),1,0)</f>
        <v/>
      </c>
      <c r="F24" s="39">
        <f>IF(F$23&gt;=DATE(YEAR(in_FirstShip),MONTH(in_FirstShip),1),1,0)</f>
        <v/>
      </c>
      <c r="G24" s="39">
        <f>IF(G$23&gt;=DATE(YEAR(in_FirstShip),MONTH(in_FirstShip),1),1,0)</f>
        <v/>
      </c>
      <c r="H24" s="39">
        <f>IF(H$23&gt;=DATE(YEAR(in_FirstShip),MONTH(in_FirstShip),1),1,0)</f>
        <v/>
      </c>
      <c r="I24" s="39">
        <f>IF(I$23&gt;=DATE(YEAR(in_FirstShip),MONTH(in_FirstShip),1),1,0)</f>
        <v/>
      </c>
      <c r="J24" s="39">
        <f>IF(J$23&gt;=DATE(YEAR(in_FirstShip),MONTH(in_FirstShip),1),1,0)</f>
        <v/>
      </c>
      <c r="K24" s="39">
        <f>IF(K$23&gt;=DATE(YEAR(in_FirstShip),MONTH(in_FirstShip),1),1,0)</f>
        <v/>
      </c>
      <c r="L24" s="39">
        <f>IF(L$23&gt;=DATE(YEAR(in_FirstShip),MONTH(in_FirstShip),1),1,0)</f>
        <v/>
      </c>
      <c r="M24" s="39">
        <f>IF(M$23&gt;=DATE(YEAR(in_FirstShip),MONTH(in_FirstShip),1),1,0)</f>
        <v/>
      </c>
      <c r="N24" s="39">
        <f>IF(N$23&gt;=DATE(YEAR(in_FirstShip),MONTH(in_FirstShip),1),1,0)</f>
        <v/>
      </c>
      <c r="O24" s="39">
        <f>IF(O$23&gt;=DATE(YEAR(in_FirstShip),MONTH(in_FirstShip),1),1,0)</f>
        <v/>
      </c>
      <c r="P24" s="39">
        <f>IF(P$23&gt;=DATE(YEAR(in_FirstShip),MONTH(in_FirstShip),1),1,0)</f>
        <v/>
      </c>
      <c r="Q24" s="39">
        <f>IF(Q$23&gt;=DATE(YEAR(in_FirstShip),MONTH(in_FirstShip),1),1,0)</f>
        <v/>
      </c>
    </row>
    <row r="26">
      <c r="A26" s="7" t="inlineStr">
        <is>
          <t>DTC customers and orders</t>
        </is>
      </c>
      <c r="B26" s="8" t="n"/>
      <c r="C26" s="8" t="n"/>
      <c r="D26" s="8" t="n"/>
      <c r="E26" s="8" t="n"/>
      <c r="F26" s="8" t="n"/>
      <c r="G26" s="8" t="n"/>
      <c r="H26" s="8" t="n"/>
      <c r="I26" s="8" t="n"/>
      <c r="J26" s="8" t="n"/>
      <c r="K26" s="8" t="n"/>
      <c r="L26" s="8" t="n"/>
      <c r="M26" s="8" t="n"/>
      <c r="N26" s="8" t="n"/>
      <c r="O26" s="8" t="n"/>
      <c r="P26" s="8" t="n"/>
      <c r="Q26" s="8" t="n"/>
      <c r="R26" s="8" t="n"/>
    </row>
    <row r="27">
      <c r="A27" s="10" t="inlineStr">
        <is>
          <t>Waitlist first orders (first ship month only)</t>
        </is>
      </c>
      <c r="B27" s="6" t="inlineStr">
        <is>
          <t>Waitlist x conversion</t>
        </is>
      </c>
      <c r="C27" s="40">
        <f>IF(EOMONTH(in_FirstShip,0)=EOMONTH(C$23,0),in_WaitSize*in_WaitConv*$B$4,0)</f>
        <v/>
      </c>
      <c r="D27" s="40">
        <f>IF(EOMONTH(in_FirstShip,0)=EOMONTH(D$23,0),in_WaitSize*in_WaitConv*$B$4,0)</f>
        <v/>
      </c>
      <c r="E27" s="40">
        <f>IF(EOMONTH(in_FirstShip,0)=EOMONTH(E$23,0),in_WaitSize*in_WaitConv*$B$4,0)</f>
        <v/>
      </c>
      <c r="F27" s="40">
        <f>IF(EOMONTH(in_FirstShip,0)=EOMONTH(F$23,0),in_WaitSize*in_WaitConv*$B$4,0)</f>
        <v/>
      </c>
      <c r="G27" s="40">
        <f>IF(EOMONTH(in_FirstShip,0)=EOMONTH(G$23,0),in_WaitSize*in_WaitConv*$B$4,0)</f>
        <v/>
      </c>
      <c r="H27" s="40">
        <f>IF(EOMONTH(in_FirstShip,0)=EOMONTH(H$23,0),in_WaitSize*in_WaitConv*$B$4,0)</f>
        <v/>
      </c>
      <c r="I27" s="40">
        <f>IF(EOMONTH(in_FirstShip,0)=EOMONTH(I$23,0),in_WaitSize*in_WaitConv*$B$4,0)</f>
        <v/>
      </c>
      <c r="J27" s="40">
        <f>IF(EOMONTH(in_FirstShip,0)=EOMONTH(J$23,0),in_WaitSize*in_WaitConv*$B$4,0)</f>
        <v/>
      </c>
      <c r="K27" s="40">
        <f>IF(EOMONTH(in_FirstShip,0)=EOMONTH(K$23,0),in_WaitSize*in_WaitConv*$B$4,0)</f>
        <v/>
      </c>
      <c r="L27" s="40">
        <f>IF(EOMONTH(in_FirstShip,0)=EOMONTH(L$23,0),in_WaitSize*in_WaitConv*$B$4,0)</f>
        <v/>
      </c>
      <c r="M27" s="40">
        <f>IF(EOMONTH(in_FirstShip,0)=EOMONTH(M$23,0),in_WaitSize*in_WaitConv*$B$4,0)</f>
        <v/>
      </c>
      <c r="N27" s="40">
        <f>IF(EOMONTH(in_FirstShip,0)=EOMONTH(N$23,0),in_WaitSize*in_WaitConv*$B$4,0)</f>
        <v/>
      </c>
      <c r="O27" s="40">
        <f>IF(EOMONTH(in_FirstShip,0)=EOMONTH(O$23,0),in_WaitSize*in_WaitConv*$B$4,0)</f>
        <v/>
      </c>
      <c r="P27" s="40">
        <f>IF(EOMONTH(in_FirstShip,0)=EOMONTH(P$23,0),in_WaitSize*in_WaitConv*$B$4,0)</f>
        <v/>
      </c>
      <c r="Q27" s="40">
        <f>IF(EOMONTH(in_FirstShip,0)=EOMONTH(Q$23,0),in_WaitSize*in_WaitConv*$B$4,0)</f>
        <v/>
      </c>
      <c r="R27" s="41">
        <f>SUM(C27:Q27)</f>
        <v/>
      </c>
    </row>
    <row r="28">
      <c r="A28" s="10" t="inlineStr">
        <is>
          <t>Organic new customers</t>
        </is>
      </c>
      <c r="C28" s="40">
        <f>IFERROR(INDEX(Inputs!$B$98:$B$107,MATCH(C$23,Inputs!$A$98:$A$107,0)),0)*$B$4*C24</f>
        <v/>
      </c>
      <c r="D28" s="40">
        <f>IFERROR(INDEX(Inputs!$B$98:$B$107,MATCH(D$23,Inputs!$A$98:$A$107,0)),0)*$B$4*D24</f>
        <v/>
      </c>
      <c r="E28" s="40">
        <f>IFERROR(INDEX(Inputs!$B$98:$B$107,MATCH(E$23,Inputs!$A$98:$A$107,0)),0)*$B$4*E24</f>
        <v/>
      </c>
      <c r="F28" s="40">
        <f>IFERROR(INDEX(Inputs!$B$98:$B$107,MATCH(F$23,Inputs!$A$98:$A$107,0)),0)*$B$4*F24</f>
        <v/>
      </c>
      <c r="G28" s="40">
        <f>IFERROR(INDEX(Inputs!$B$98:$B$107,MATCH(G$23,Inputs!$A$98:$A$107,0)),0)*$B$4*G24</f>
        <v/>
      </c>
      <c r="H28" s="40">
        <f>IFERROR(INDEX(Inputs!$B$98:$B$107,MATCH(H$23,Inputs!$A$98:$A$107,0)),0)*$B$4*H24</f>
        <v/>
      </c>
      <c r="I28" s="40">
        <f>IFERROR(INDEX(Inputs!$B$98:$B$107,MATCH(I$23,Inputs!$A$98:$A$107,0)),0)*$B$4*I24</f>
        <v/>
      </c>
      <c r="J28" s="40">
        <f>IFERROR(INDEX(Inputs!$B$98:$B$107,MATCH(J$23,Inputs!$A$98:$A$107,0)),0)*$B$4*J24</f>
        <v/>
      </c>
      <c r="K28" s="40">
        <f>IFERROR(INDEX(Inputs!$B$98:$B$107,MATCH(K$23,Inputs!$A$98:$A$107,0)),0)*$B$4*K24</f>
        <v/>
      </c>
      <c r="L28" s="40">
        <f>IFERROR(INDEX(Inputs!$B$98:$B$107,MATCH(L$23,Inputs!$A$98:$A$107,0)),0)*$B$4*L24</f>
        <v/>
      </c>
      <c r="M28" s="40">
        <f>IFERROR(INDEX(Inputs!$B$98:$B$107,MATCH(M$23,Inputs!$A$98:$A$107,0)),0)*$B$4*M24</f>
        <v/>
      </c>
      <c r="N28" s="40">
        <f>IFERROR(INDEX(Inputs!$B$98:$B$107,MATCH(N$23,Inputs!$A$98:$A$107,0)),0)*$B$4*N24</f>
        <v/>
      </c>
      <c r="O28" s="40">
        <f>IFERROR(INDEX(Inputs!$B$98:$B$107,MATCH(O$23,Inputs!$A$98:$A$107,0)),0)*$B$4*O24</f>
        <v/>
      </c>
      <c r="P28" s="40">
        <f>IFERROR(INDEX(Inputs!$B$98:$B$107,MATCH(P$23,Inputs!$A$98:$A$107,0)),0)*$B$4*P24</f>
        <v/>
      </c>
      <c r="Q28" s="40">
        <f>IFERROR(INDEX(Inputs!$B$98:$B$107,MATCH(Q$23,Inputs!$A$98:$A$107,0)),0)*$B$4*Q24</f>
        <v/>
      </c>
      <c r="R28" s="41">
        <f>SUM(C28:Q28)</f>
        <v/>
      </c>
    </row>
    <row r="29">
      <c r="A29" s="10" t="inlineStr">
        <is>
          <t>Paid new customers</t>
        </is>
      </c>
      <c r="C29" s="40">
        <f>IFERROR(INDEX(Inputs!$C$98:$C$107,MATCH(C$23,Inputs!$A$98:$A$107,0)),0)*$B$4*C24</f>
        <v/>
      </c>
      <c r="D29" s="40">
        <f>IFERROR(INDEX(Inputs!$C$98:$C$107,MATCH(D$23,Inputs!$A$98:$A$107,0)),0)*$B$4*D24</f>
        <v/>
      </c>
      <c r="E29" s="40">
        <f>IFERROR(INDEX(Inputs!$C$98:$C$107,MATCH(E$23,Inputs!$A$98:$A$107,0)),0)*$B$4*E24</f>
        <v/>
      </c>
      <c r="F29" s="40">
        <f>IFERROR(INDEX(Inputs!$C$98:$C$107,MATCH(F$23,Inputs!$A$98:$A$107,0)),0)*$B$4*F24</f>
        <v/>
      </c>
      <c r="G29" s="40">
        <f>IFERROR(INDEX(Inputs!$C$98:$C$107,MATCH(G$23,Inputs!$A$98:$A$107,0)),0)*$B$4*G24</f>
        <v/>
      </c>
      <c r="H29" s="40">
        <f>IFERROR(INDEX(Inputs!$C$98:$C$107,MATCH(H$23,Inputs!$A$98:$A$107,0)),0)*$B$4*H24</f>
        <v/>
      </c>
      <c r="I29" s="40">
        <f>IFERROR(INDEX(Inputs!$C$98:$C$107,MATCH(I$23,Inputs!$A$98:$A$107,0)),0)*$B$4*I24</f>
        <v/>
      </c>
      <c r="J29" s="40">
        <f>IFERROR(INDEX(Inputs!$C$98:$C$107,MATCH(J$23,Inputs!$A$98:$A$107,0)),0)*$B$4*J24</f>
        <v/>
      </c>
      <c r="K29" s="40">
        <f>IFERROR(INDEX(Inputs!$C$98:$C$107,MATCH(K$23,Inputs!$A$98:$A$107,0)),0)*$B$4*K24</f>
        <v/>
      </c>
      <c r="L29" s="40">
        <f>IFERROR(INDEX(Inputs!$C$98:$C$107,MATCH(L$23,Inputs!$A$98:$A$107,0)),0)*$B$4*L24</f>
        <v/>
      </c>
      <c r="M29" s="40">
        <f>IFERROR(INDEX(Inputs!$C$98:$C$107,MATCH(M$23,Inputs!$A$98:$A$107,0)),0)*$B$4*M24</f>
        <v/>
      </c>
      <c r="N29" s="40">
        <f>IFERROR(INDEX(Inputs!$C$98:$C$107,MATCH(N$23,Inputs!$A$98:$A$107,0)),0)*$B$4*N24</f>
        <v/>
      </c>
      <c r="O29" s="40">
        <f>IFERROR(INDEX(Inputs!$C$98:$C$107,MATCH(O$23,Inputs!$A$98:$A$107,0)),0)*$B$4*O24</f>
        <v/>
      </c>
      <c r="P29" s="40">
        <f>IFERROR(INDEX(Inputs!$C$98:$C$107,MATCH(P$23,Inputs!$A$98:$A$107,0)),0)*$B$4*P24</f>
        <v/>
      </c>
      <c r="Q29" s="40">
        <f>IFERROR(INDEX(Inputs!$C$98:$C$107,MATCH(Q$23,Inputs!$A$98:$A$107,0)),0)*$B$4*Q24</f>
        <v/>
      </c>
      <c r="R29" s="41">
        <f>SUM(C29:Q29)</f>
        <v/>
      </c>
    </row>
    <row r="30">
      <c r="A30" s="26" t="inlineStr">
        <is>
          <t>Total new DTC customers</t>
        </is>
      </c>
      <c r="C30" s="42">
        <f>C27+C28+C29</f>
        <v/>
      </c>
      <c r="D30" s="42">
        <f>D27+D28+D29</f>
        <v/>
      </c>
      <c r="E30" s="42">
        <f>E27+E28+E29</f>
        <v/>
      </c>
      <c r="F30" s="42">
        <f>F27+F28+F29</f>
        <v/>
      </c>
      <c r="G30" s="42">
        <f>G27+G28+G29</f>
        <v/>
      </c>
      <c r="H30" s="42">
        <f>H27+H28+H29</f>
        <v/>
      </c>
      <c r="I30" s="42">
        <f>I27+I28+I29</f>
        <v/>
      </c>
      <c r="J30" s="42">
        <f>J27+J28+J29</f>
        <v/>
      </c>
      <c r="K30" s="42">
        <f>K27+K28+K29</f>
        <v/>
      </c>
      <c r="L30" s="42">
        <f>L27+L28+L29</f>
        <v/>
      </c>
      <c r="M30" s="42">
        <f>M27+M28+M29</f>
        <v/>
      </c>
      <c r="N30" s="42">
        <f>N27+N28+N29</f>
        <v/>
      </c>
      <c r="O30" s="42">
        <f>O27+O28+O29</f>
        <v/>
      </c>
      <c r="P30" s="42">
        <f>P27+P28+P29</f>
        <v/>
      </c>
      <c r="Q30" s="42">
        <f>Q27+Q28+Q29</f>
        <v/>
      </c>
      <c r="R30" s="41">
        <f>SUM(C30:Q30)</f>
        <v/>
      </c>
    </row>
    <row r="31">
      <c r="A31" s="10" t="inlineStr">
        <is>
          <t>New subscribers</t>
        </is>
      </c>
      <c r="C31" s="40">
        <f>C30*in_SubShare</f>
        <v/>
      </c>
      <c r="D31" s="40">
        <f>D30*in_SubShare</f>
        <v/>
      </c>
      <c r="E31" s="40">
        <f>E30*in_SubShare</f>
        <v/>
      </c>
      <c r="F31" s="40">
        <f>F30*in_SubShare</f>
        <v/>
      </c>
      <c r="G31" s="40">
        <f>G30*in_SubShare</f>
        <v/>
      </c>
      <c r="H31" s="40">
        <f>H30*in_SubShare</f>
        <v/>
      </c>
      <c r="I31" s="40">
        <f>I30*in_SubShare</f>
        <v/>
      </c>
      <c r="J31" s="40">
        <f>J30*in_SubShare</f>
        <v/>
      </c>
      <c r="K31" s="40">
        <f>K30*in_SubShare</f>
        <v/>
      </c>
      <c r="L31" s="40">
        <f>L30*in_SubShare</f>
        <v/>
      </c>
      <c r="M31" s="40">
        <f>M30*in_SubShare</f>
        <v/>
      </c>
      <c r="N31" s="40">
        <f>N30*in_SubShare</f>
        <v/>
      </c>
      <c r="O31" s="40">
        <f>O30*in_SubShare</f>
        <v/>
      </c>
      <c r="P31" s="40">
        <f>P30*in_SubShare</f>
        <v/>
      </c>
      <c r="Q31" s="40">
        <f>Q30*in_SubShare</f>
        <v/>
      </c>
      <c r="R31" s="41">
        <f>SUM(C31:Q31)</f>
        <v/>
      </c>
    </row>
    <row r="32">
      <c r="A32" s="10" t="inlineStr">
        <is>
          <t>Active subscribers, end of month (= subscription orders)</t>
        </is>
      </c>
      <c r="B32" s="6" t="inlineStr">
        <is>
          <t>1 pouch/month each</t>
        </is>
      </c>
      <c r="C32" s="40">
        <f>C31</f>
        <v/>
      </c>
      <c r="D32" s="40">
        <f>C32*(1-in_SubChurn)+D31</f>
        <v/>
      </c>
      <c r="E32" s="40">
        <f>D32*(1-in_SubChurn)+E31</f>
        <v/>
      </c>
      <c r="F32" s="40">
        <f>E32*(1-in_SubChurn)+F31</f>
        <v/>
      </c>
      <c r="G32" s="40">
        <f>F32*(1-in_SubChurn)+G31</f>
        <v/>
      </c>
      <c r="H32" s="40">
        <f>G32*(1-in_SubChurn)+H31</f>
        <v/>
      </c>
      <c r="I32" s="40">
        <f>H32*(1-in_SubChurn)+I31</f>
        <v/>
      </c>
      <c r="J32" s="40">
        <f>I32*(1-in_SubChurn)+J31</f>
        <v/>
      </c>
      <c r="K32" s="40">
        <f>J32*(1-in_SubChurn)+K31</f>
        <v/>
      </c>
      <c r="L32" s="40">
        <f>K32*(1-in_SubChurn)+L31</f>
        <v/>
      </c>
      <c r="M32" s="40">
        <f>L32*(1-in_SubChurn)+M31</f>
        <v/>
      </c>
      <c r="N32" s="40">
        <f>M32*(1-in_SubChurn)+N31</f>
        <v/>
      </c>
      <c r="O32" s="40">
        <f>N32*(1-in_SubChurn)+O31</f>
        <v/>
      </c>
      <c r="P32" s="40">
        <f>O32*(1-in_SubChurn)+P31</f>
        <v/>
      </c>
      <c r="Q32" s="40">
        <f>P32*(1-in_SubChurn)+Q31</f>
        <v/>
      </c>
    </row>
    <row r="33">
      <c r="A33" s="10" t="inlineStr">
        <is>
          <t>One-off first orders</t>
        </is>
      </c>
      <c r="C33" s="40">
        <f>C30*(1-in_SubShare)</f>
        <v/>
      </c>
      <c r="D33" s="40">
        <f>D30*(1-in_SubShare)</f>
        <v/>
      </c>
      <c r="E33" s="40">
        <f>E30*(1-in_SubShare)</f>
        <v/>
      </c>
      <c r="F33" s="40">
        <f>F30*(1-in_SubShare)</f>
        <v/>
      </c>
      <c r="G33" s="40">
        <f>G30*(1-in_SubShare)</f>
        <v/>
      </c>
      <c r="H33" s="40">
        <f>H30*(1-in_SubShare)</f>
        <v/>
      </c>
      <c r="I33" s="40">
        <f>I30*(1-in_SubShare)</f>
        <v/>
      </c>
      <c r="J33" s="40">
        <f>J30*(1-in_SubShare)</f>
        <v/>
      </c>
      <c r="K33" s="40">
        <f>K30*(1-in_SubShare)</f>
        <v/>
      </c>
      <c r="L33" s="40">
        <f>L30*(1-in_SubShare)</f>
        <v/>
      </c>
      <c r="M33" s="40">
        <f>M30*(1-in_SubShare)</f>
        <v/>
      </c>
      <c r="N33" s="40">
        <f>N30*(1-in_SubShare)</f>
        <v/>
      </c>
      <c r="O33" s="40">
        <f>O30*(1-in_SubShare)</f>
        <v/>
      </c>
      <c r="P33" s="40">
        <f>P30*(1-in_SubShare)</f>
        <v/>
      </c>
      <c r="Q33" s="40">
        <f>Q30*(1-in_SubShare)</f>
        <v/>
      </c>
      <c r="R33" s="41">
        <f>SUM(C33:Q33)</f>
        <v/>
      </c>
    </row>
    <row r="34">
      <c r="A34" s="10" t="inlineStr">
        <is>
          <t>One-off repeat orders</t>
        </is>
      </c>
      <c r="C34" s="40">
        <f>0</f>
        <v/>
      </c>
      <c r="D34" s="40">
        <f>C35*in_Repeat</f>
        <v/>
      </c>
      <c r="E34" s="40">
        <f>D35*in_Repeat</f>
        <v/>
      </c>
      <c r="F34" s="40">
        <f>E35*in_Repeat</f>
        <v/>
      </c>
      <c r="G34" s="40">
        <f>F35*in_Repeat</f>
        <v/>
      </c>
      <c r="H34" s="40">
        <f>G35*in_Repeat</f>
        <v/>
      </c>
      <c r="I34" s="40">
        <f>H35*in_Repeat</f>
        <v/>
      </c>
      <c r="J34" s="40">
        <f>I35*in_Repeat</f>
        <v/>
      </c>
      <c r="K34" s="40">
        <f>J35*in_Repeat</f>
        <v/>
      </c>
      <c r="L34" s="40">
        <f>K35*in_Repeat</f>
        <v/>
      </c>
      <c r="M34" s="40">
        <f>L35*in_Repeat</f>
        <v/>
      </c>
      <c r="N34" s="40">
        <f>M35*in_Repeat</f>
        <v/>
      </c>
      <c r="O34" s="40">
        <f>N35*in_Repeat</f>
        <v/>
      </c>
      <c r="P34" s="40">
        <f>O35*in_Repeat</f>
        <v/>
      </c>
      <c r="Q34" s="40">
        <f>P35*in_Repeat</f>
        <v/>
      </c>
      <c r="R34" s="41">
        <f>SUM(C34:Q34)</f>
        <v/>
      </c>
    </row>
    <row r="35">
      <c r="A35" s="26" t="inlineStr">
        <is>
          <t>Total one-off pouch orders</t>
        </is>
      </c>
      <c r="C35" s="42">
        <f>C33+C34</f>
        <v/>
      </c>
      <c r="D35" s="42">
        <f>D33+D34</f>
        <v/>
      </c>
      <c r="E35" s="42">
        <f>E33+E34</f>
        <v/>
      </c>
      <c r="F35" s="42">
        <f>F33+F34</f>
        <v/>
      </c>
      <c r="G35" s="42">
        <f>G33+G34</f>
        <v/>
      </c>
      <c r="H35" s="42">
        <f>H33+H34</f>
        <v/>
      </c>
      <c r="I35" s="42">
        <f>I33+I34</f>
        <v/>
      </c>
      <c r="J35" s="42">
        <f>J33+J34</f>
        <v/>
      </c>
      <c r="K35" s="42">
        <f>K33+K34</f>
        <v/>
      </c>
      <c r="L35" s="42">
        <f>L33+L34</f>
        <v/>
      </c>
      <c r="M35" s="42">
        <f>M33+M34</f>
        <v/>
      </c>
      <c r="N35" s="42">
        <f>N33+N34</f>
        <v/>
      </c>
      <c r="O35" s="42">
        <f>O33+O34</f>
        <v/>
      </c>
      <c r="P35" s="42">
        <f>P33+P34</f>
        <v/>
      </c>
      <c r="Q35" s="42">
        <f>Q33+Q34</f>
        <v/>
      </c>
      <c r="R35" s="41">
        <f>SUM(C35:Q35)</f>
        <v/>
      </c>
    </row>
    <row r="36">
      <c r="A36" s="26" t="inlineStr">
        <is>
          <t>Total DTC pouch orders (one-off + subscription)</t>
        </is>
      </c>
      <c r="C36" s="42">
        <f>C35+C32</f>
        <v/>
      </c>
      <c r="D36" s="42">
        <f>D35+D32</f>
        <v/>
      </c>
      <c r="E36" s="42">
        <f>E35+E32</f>
        <v/>
      </c>
      <c r="F36" s="42">
        <f>F35+F32</f>
        <v/>
      </c>
      <c r="G36" s="42">
        <f>G35+G32</f>
        <v/>
      </c>
      <c r="H36" s="42">
        <f>H35+H32</f>
        <v/>
      </c>
      <c r="I36" s="42">
        <f>I35+I32</f>
        <v/>
      </c>
      <c r="J36" s="42">
        <f>J35+J32</f>
        <v/>
      </c>
      <c r="K36" s="42">
        <f>K35+K32</f>
        <v/>
      </c>
      <c r="L36" s="42">
        <f>L35+L32</f>
        <v/>
      </c>
      <c r="M36" s="42">
        <f>M35+M32</f>
        <v/>
      </c>
      <c r="N36" s="42">
        <f>N35+N32</f>
        <v/>
      </c>
      <c r="O36" s="42">
        <f>O35+O32</f>
        <v/>
      </c>
      <c r="P36" s="42">
        <f>P35+P32</f>
        <v/>
      </c>
      <c r="Q36" s="42">
        <f>Q35+Q32</f>
        <v/>
      </c>
      <c r="R36" s="41">
        <f>SUM(C36:Q36)</f>
        <v/>
      </c>
    </row>
    <row r="37">
      <c r="A37" s="10" t="inlineStr">
        <is>
          <t>DTC stick-box orders</t>
        </is>
      </c>
      <c r="C37" s="40">
        <f>C36*in_StickAttach</f>
        <v/>
      </c>
      <c r="D37" s="40">
        <f>D36*in_StickAttach</f>
        <v/>
      </c>
      <c r="E37" s="40">
        <f>E36*in_StickAttach</f>
        <v/>
      </c>
      <c r="F37" s="40">
        <f>F36*in_StickAttach</f>
        <v/>
      </c>
      <c r="G37" s="40">
        <f>G36*in_StickAttach</f>
        <v/>
      </c>
      <c r="H37" s="40">
        <f>H36*in_StickAttach</f>
        <v/>
      </c>
      <c r="I37" s="40">
        <f>I36*in_StickAttach</f>
        <v/>
      </c>
      <c r="J37" s="40">
        <f>J36*in_StickAttach</f>
        <v/>
      </c>
      <c r="K37" s="40">
        <f>K36*in_StickAttach</f>
        <v/>
      </c>
      <c r="L37" s="40">
        <f>L36*in_StickAttach</f>
        <v/>
      </c>
      <c r="M37" s="40">
        <f>M36*in_StickAttach</f>
        <v/>
      </c>
      <c r="N37" s="40">
        <f>N36*in_StickAttach</f>
        <v/>
      </c>
      <c r="O37" s="40">
        <f>O36*in_StickAttach</f>
        <v/>
      </c>
      <c r="P37" s="40">
        <f>P36*in_StickAttach</f>
        <v/>
      </c>
      <c r="Q37" s="40">
        <f>Q36*in_StickAttach</f>
        <v/>
      </c>
      <c r="R37" s="41">
        <f>SUM(C37:Q37)</f>
        <v/>
      </c>
    </row>
    <row r="39">
      <c r="A39" s="7" t="inlineStr">
        <is>
          <t>Wholesale (direct to stores)</t>
        </is>
      </c>
      <c r="B39" s="8" t="n"/>
      <c r="C39" s="8" t="n"/>
      <c r="D39" s="8" t="n"/>
      <c r="E39" s="8" t="n"/>
      <c r="F39" s="8" t="n"/>
      <c r="G39" s="8" t="n"/>
      <c r="H39" s="8" t="n"/>
      <c r="I39" s="8" t="n"/>
      <c r="J39" s="8" t="n"/>
      <c r="K39" s="8" t="n"/>
      <c r="L39" s="8" t="n"/>
      <c r="M39" s="8" t="n"/>
      <c r="N39" s="8" t="n"/>
      <c r="O39" s="8" t="n"/>
      <c r="P39" s="8" t="n"/>
      <c r="Q39" s="8" t="n"/>
      <c r="R39" s="8" t="n"/>
    </row>
    <row r="40">
      <c r="A40" s="10" t="inlineStr">
        <is>
          <t>New store accounts</t>
        </is>
      </c>
      <c r="C40" s="40">
        <f>IFERROR(INDEX(Inputs!$D$98:$D$107,MATCH(C$23,Inputs!$A$98:$A$107,0)),0)*$B$4*C24</f>
        <v/>
      </c>
      <c r="D40" s="40">
        <f>IFERROR(INDEX(Inputs!$D$98:$D$107,MATCH(D$23,Inputs!$A$98:$A$107,0)),0)*$B$4*D24</f>
        <v/>
      </c>
      <c r="E40" s="40">
        <f>IFERROR(INDEX(Inputs!$D$98:$D$107,MATCH(E$23,Inputs!$A$98:$A$107,0)),0)*$B$4*E24</f>
        <v/>
      </c>
      <c r="F40" s="40">
        <f>IFERROR(INDEX(Inputs!$D$98:$D$107,MATCH(F$23,Inputs!$A$98:$A$107,0)),0)*$B$4*F24</f>
        <v/>
      </c>
      <c r="G40" s="40">
        <f>IFERROR(INDEX(Inputs!$D$98:$D$107,MATCH(G$23,Inputs!$A$98:$A$107,0)),0)*$B$4*G24</f>
        <v/>
      </c>
      <c r="H40" s="40">
        <f>IFERROR(INDEX(Inputs!$D$98:$D$107,MATCH(H$23,Inputs!$A$98:$A$107,0)),0)*$B$4*H24</f>
        <v/>
      </c>
      <c r="I40" s="40">
        <f>IFERROR(INDEX(Inputs!$D$98:$D$107,MATCH(I$23,Inputs!$A$98:$A$107,0)),0)*$B$4*I24</f>
        <v/>
      </c>
      <c r="J40" s="40">
        <f>IFERROR(INDEX(Inputs!$D$98:$D$107,MATCH(J$23,Inputs!$A$98:$A$107,0)),0)*$B$4*J24</f>
        <v/>
      </c>
      <c r="K40" s="40">
        <f>IFERROR(INDEX(Inputs!$D$98:$D$107,MATCH(K$23,Inputs!$A$98:$A$107,0)),0)*$B$4*K24</f>
        <v/>
      </c>
      <c r="L40" s="40">
        <f>IFERROR(INDEX(Inputs!$D$98:$D$107,MATCH(L$23,Inputs!$A$98:$A$107,0)),0)*$B$4*L24</f>
        <v/>
      </c>
      <c r="M40" s="40">
        <f>IFERROR(INDEX(Inputs!$D$98:$D$107,MATCH(M$23,Inputs!$A$98:$A$107,0)),0)*$B$4*M24</f>
        <v/>
      </c>
      <c r="N40" s="40">
        <f>IFERROR(INDEX(Inputs!$D$98:$D$107,MATCH(N$23,Inputs!$A$98:$A$107,0)),0)*$B$4*N24</f>
        <v/>
      </c>
      <c r="O40" s="40">
        <f>IFERROR(INDEX(Inputs!$D$98:$D$107,MATCH(O$23,Inputs!$A$98:$A$107,0)),0)*$B$4*O24</f>
        <v/>
      </c>
      <c r="P40" s="40">
        <f>IFERROR(INDEX(Inputs!$D$98:$D$107,MATCH(P$23,Inputs!$A$98:$A$107,0)),0)*$B$4*P24</f>
        <v/>
      </c>
      <c r="Q40" s="40">
        <f>IFERROR(INDEX(Inputs!$D$98:$D$107,MATCH(Q$23,Inputs!$A$98:$A$107,0)),0)*$B$4*Q24</f>
        <v/>
      </c>
      <c r="R40" s="41">
        <f>SUM(C40:Q40)</f>
        <v/>
      </c>
    </row>
    <row r="41">
      <c r="A41" s="10" t="inlineStr">
        <is>
          <t>Active store accounts, end of month</t>
        </is>
      </c>
      <c r="C41" s="40">
        <f>C40</f>
        <v/>
      </c>
      <c r="D41" s="40">
        <f>C41*(1-in_StoreChurn)+D40</f>
        <v/>
      </c>
      <c r="E41" s="40">
        <f>D41*(1-in_StoreChurn)+E40</f>
        <v/>
      </c>
      <c r="F41" s="40">
        <f>E41*(1-in_StoreChurn)+F40</f>
        <v/>
      </c>
      <c r="G41" s="40">
        <f>F41*(1-in_StoreChurn)+G40</f>
        <v/>
      </c>
      <c r="H41" s="40">
        <f>G41*(1-in_StoreChurn)+H40</f>
        <v/>
      </c>
      <c r="I41" s="40">
        <f>H41*(1-in_StoreChurn)+I40</f>
        <v/>
      </c>
      <c r="J41" s="40">
        <f>I41*(1-in_StoreChurn)+J40</f>
        <v/>
      </c>
      <c r="K41" s="40">
        <f>J41*(1-in_StoreChurn)+K40</f>
        <v/>
      </c>
      <c r="L41" s="40">
        <f>K41*(1-in_StoreChurn)+L40</f>
        <v/>
      </c>
      <c r="M41" s="40">
        <f>L41*(1-in_StoreChurn)+M40</f>
        <v/>
      </c>
      <c r="N41" s="40">
        <f>M41*(1-in_StoreChurn)+N40</f>
        <v/>
      </c>
      <c r="O41" s="40">
        <f>N41*(1-in_StoreChurn)+O40</f>
        <v/>
      </c>
      <c r="P41" s="40">
        <f>O41*(1-in_StoreChurn)+P40</f>
        <v/>
      </c>
      <c r="Q41" s="40">
        <f>P41*(1-in_StoreChurn)+Q40</f>
        <v/>
      </c>
    </row>
    <row r="42">
      <c r="A42" s="10" t="inlineStr">
        <is>
          <t>Wholesale pouches shipped</t>
        </is>
      </c>
      <c r="C42" s="40">
        <f>C41*in_PouchPerStore</f>
        <v/>
      </c>
      <c r="D42" s="40">
        <f>D41*in_PouchPerStore</f>
        <v/>
      </c>
      <c r="E42" s="40">
        <f>E41*in_PouchPerStore</f>
        <v/>
      </c>
      <c r="F42" s="40">
        <f>F41*in_PouchPerStore</f>
        <v/>
      </c>
      <c r="G42" s="40">
        <f>G41*in_PouchPerStore</f>
        <v/>
      </c>
      <c r="H42" s="40">
        <f>H41*in_PouchPerStore</f>
        <v/>
      </c>
      <c r="I42" s="40">
        <f>I41*in_PouchPerStore</f>
        <v/>
      </c>
      <c r="J42" s="40">
        <f>J41*in_PouchPerStore</f>
        <v/>
      </c>
      <c r="K42" s="40">
        <f>K41*in_PouchPerStore</f>
        <v/>
      </c>
      <c r="L42" s="40">
        <f>L41*in_PouchPerStore</f>
        <v/>
      </c>
      <c r="M42" s="40">
        <f>M41*in_PouchPerStore</f>
        <v/>
      </c>
      <c r="N42" s="40">
        <f>N41*in_PouchPerStore</f>
        <v/>
      </c>
      <c r="O42" s="40">
        <f>O41*in_PouchPerStore</f>
        <v/>
      </c>
      <c r="P42" s="40">
        <f>P41*in_PouchPerStore</f>
        <v/>
      </c>
      <c r="Q42" s="40">
        <f>Q41*in_PouchPerStore</f>
        <v/>
      </c>
      <c r="R42" s="41">
        <f>SUM(C42:Q42)</f>
        <v/>
      </c>
    </row>
    <row r="43">
      <c r="A43" s="10" t="inlineStr">
        <is>
          <t>Wholesale sticks shipped</t>
        </is>
      </c>
      <c r="C43" s="40">
        <f>C41*in_StickPerStore</f>
        <v/>
      </c>
      <c r="D43" s="40">
        <f>D41*in_StickPerStore</f>
        <v/>
      </c>
      <c r="E43" s="40">
        <f>E41*in_StickPerStore</f>
        <v/>
      </c>
      <c r="F43" s="40">
        <f>F41*in_StickPerStore</f>
        <v/>
      </c>
      <c r="G43" s="40">
        <f>G41*in_StickPerStore</f>
        <v/>
      </c>
      <c r="H43" s="40">
        <f>H41*in_StickPerStore</f>
        <v/>
      </c>
      <c r="I43" s="40">
        <f>I41*in_StickPerStore</f>
        <v/>
      </c>
      <c r="J43" s="40">
        <f>J41*in_StickPerStore</f>
        <v/>
      </c>
      <c r="K43" s="40">
        <f>K41*in_StickPerStore</f>
        <v/>
      </c>
      <c r="L43" s="40">
        <f>L41*in_StickPerStore</f>
        <v/>
      </c>
      <c r="M43" s="40">
        <f>M41*in_StickPerStore</f>
        <v/>
      </c>
      <c r="N43" s="40">
        <f>N41*in_StickPerStore</f>
        <v/>
      </c>
      <c r="O43" s="40">
        <f>O41*in_StickPerStore</f>
        <v/>
      </c>
      <c r="P43" s="40">
        <f>P41*in_StickPerStore</f>
        <v/>
      </c>
      <c r="Q43" s="40">
        <f>Q41*in_StickPerStore</f>
        <v/>
      </c>
      <c r="R43" s="41">
        <f>SUM(C43:Q43)</f>
        <v/>
      </c>
    </row>
    <row r="45">
      <c r="A45" s="7" t="inlineStr">
        <is>
          <t>Pouch inventory (units)</t>
        </is>
      </c>
      <c r="B45" s="8" t="n"/>
      <c r="C45" s="8" t="n"/>
      <c r="D45" s="8" t="n"/>
      <c r="E45" s="8" t="n"/>
      <c r="F45" s="8" t="n"/>
      <c r="G45" s="8" t="n"/>
      <c r="H45" s="8" t="n"/>
      <c r="I45" s="8" t="n"/>
      <c r="J45" s="8" t="n"/>
      <c r="K45" s="8" t="n"/>
      <c r="L45" s="8" t="n"/>
      <c r="M45" s="8" t="n"/>
      <c r="N45" s="8" t="n"/>
      <c r="O45" s="8" t="n"/>
      <c r="P45" s="8" t="n"/>
      <c r="Q45" s="8" t="n"/>
      <c r="R45" s="8" t="n"/>
    </row>
    <row r="46">
      <c r="A46" s="10" t="inlineStr">
        <is>
          <t>Pouch demand</t>
        </is>
      </c>
      <c r="C46" s="43">
        <f>C36*in_PouchPerOrder+C42</f>
        <v/>
      </c>
      <c r="D46" s="43">
        <f>D36*in_PouchPerOrder+D42</f>
        <v/>
      </c>
      <c r="E46" s="43">
        <f>E36*in_PouchPerOrder+E42</f>
        <v/>
      </c>
      <c r="F46" s="43">
        <f>F36*in_PouchPerOrder+F42</f>
        <v/>
      </c>
      <c r="G46" s="43">
        <f>G36*in_PouchPerOrder+G42</f>
        <v/>
      </c>
      <c r="H46" s="43">
        <f>H36*in_PouchPerOrder+H42</f>
        <v/>
      </c>
      <c r="I46" s="43">
        <f>I36*in_PouchPerOrder+I42</f>
        <v/>
      </c>
      <c r="J46" s="43">
        <f>J36*in_PouchPerOrder+J42</f>
        <v/>
      </c>
      <c r="K46" s="43">
        <f>K36*in_PouchPerOrder+K42</f>
        <v/>
      </c>
      <c r="L46" s="43">
        <f>L36*in_PouchPerOrder+L42</f>
        <v/>
      </c>
      <c r="M46" s="43">
        <f>M36*in_PouchPerOrder+M42</f>
        <v/>
      </c>
      <c r="N46" s="43">
        <f>N36*in_PouchPerOrder+N42</f>
        <v/>
      </c>
      <c r="O46" s="43">
        <f>O36*in_PouchPerOrder+O42</f>
        <v/>
      </c>
      <c r="P46" s="43">
        <f>P36*in_PouchPerOrder+P42</f>
        <v/>
      </c>
      <c r="Q46" s="43">
        <f>Q36*in_PouchPerOrder+Q42</f>
        <v/>
      </c>
      <c r="R46" s="44">
        <f>SUM(C46:Q46)</f>
        <v/>
      </c>
    </row>
    <row r="47">
      <c r="A47" s="10" t="inlineStr">
        <is>
          <t>Opening stock</t>
        </is>
      </c>
      <c r="C47" s="43">
        <f>0</f>
        <v/>
      </c>
      <c r="D47" s="43">
        <f>C55</f>
        <v/>
      </c>
      <c r="E47" s="43">
        <f>D55</f>
        <v/>
      </c>
      <c r="F47" s="43">
        <f>E55</f>
        <v/>
      </c>
      <c r="G47" s="43">
        <f>F55</f>
        <v/>
      </c>
      <c r="H47" s="43">
        <f>G55</f>
        <v/>
      </c>
      <c r="I47" s="43">
        <f>H55</f>
        <v/>
      </c>
      <c r="J47" s="43">
        <f>I55</f>
        <v/>
      </c>
      <c r="K47" s="43">
        <f>J55</f>
        <v/>
      </c>
      <c r="L47" s="43">
        <f>K55</f>
        <v/>
      </c>
      <c r="M47" s="43">
        <f>L55</f>
        <v/>
      </c>
      <c r="N47" s="43">
        <f>M55</f>
        <v/>
      </c>
      <c r="O47" s="43">
        <f>N55</f>
        <v/>
      </c>
      <c r="P47" s="43">
        <f>O55</f>
        <v/>
      </c>
      <c r="Q47" s="43">
        <f>P55</f>
        <v/>
      </c>
    </row>
    <row r="48">
      <c r="A48" s="10" t="inlineStr">
        <is>
          <t>First run received</t>
        </is>
      </c>
      <c r="C48" s="43">
        <f>IF(EOMONTH(in_FirstShip,0)=EOMONTH(C$23,0),$B$8,0)</f>
        <v/>
      </c>
      <c r="D48" s="43">
        <f>IF(EOMONTH(in_FirstShip,0)=EOMONTH(D$23,0),$B$8,0)</f>
        <v/>
      </c>
      <c r="E48" s="43">
        <f>IF(EOMONTH(in_FirstShip,0)=EOMONTH(E$23,0),$B$8,0)</f>
        <v/>
      </c>
      <c r="F48" s="43">
        <f>IF(EOMONTH(in_FirstShip,0)=EOMONTH(F$23,0),$B$8,0)</f>
        <v/>
      </c>
      <c r="G48" s="43">
        <f>IF(EOMONTH(in_FirstShip,0)=EOMONTH(G$23,0),$B$8,0)</f>
        <v/>
      </c>
      <c r="H48" s="43">
        <f>IF(EOMONTH(in_FirstShip,0)=EOMONTH(H$23,0),$B$8,0)</f>
        <v/>
      </c>
      <c r="I48" s="43">
        <f>IF(EOMONTH(in_FirstShip,0)=EOMONTH(I$23,0),$B$8,0)</f>
        <v/>
      </c>
      <c r="J48" s="43">
        <f>IF(EOMONTH(in_FirstShip,0)=EOMONTH(J$23,0),$B$8,0)</f>
        <v/>
      </c>
      <c r="K48" s="43">
        <f>IF(EOMONTH(in_FirstShip,0)=EOMONTH(K$23,0),$B$8,0)</f>
        <v/>
      </c>
      <c r="L48" s="43">
        <f>IF(EOMONTH(in_FirstShip,0)=EOMONTH(L$23,0),$B$8,0)</f>
        <v/>
      </c>
      <c r="M48" s="43">
        <f>IF(EOMONTH(in_FirstShip,0)=EOMONTH(M$23,0),$B$8,0)</f>
        <v/>
      </c>
      <c r="N48" s="43">
        <f>IF(EOMONTH(in_FirstShip,0)=EOMONTH(N$23,0),$B$8,0)</f>
        <v/>
      </c>
      <c r="O48" s="43">
        <f>IF(EOMONTH(in_FirstShip,0)=EOMONTH(O$23,0),$B$8,0)</f>
        <v/>
      </c>
      <c r="P48" s="43">
        <f>IF(EOMONTH(in_FirstShip,0)=EOMONTH(P$23,0),$B$8,0)</f>
        <v/>
      </c>
      <c r="Q48" s="43">
        <f>IF(EOMONTH(in_FirstShip,0)=EOMONTH(Q$23,0),$B$8,0)</f>
        <v/>
      </c>
      <c r="R48" s="44">
        <f>SUM(C48:Q48)</f>
        <v/>
      </c>
    </row>
    <row r="49">
      <c r="A49" s="10" t="inlineStr">
        <is>
          <t>Second flavour first run received</t>
        </is>
      </c>
      <c r="C49" s="43">
        <f>IF(AND(in_Flavor2On=1,EOMONTH(in_Flavor2Run,0)=EOMONTH(C$23,0)),$B$8,0)</f>
        <v/>
      </c>
      <c r="D49" s="43">
        <f>IF(AND(in_Flavor2On=1,EOMONTH(in_Flavor2Run,0)=EOMONTH(D$23,0)),$B$8,0)</f>
        <v/>
      </c>
      <c r="E49" s="43">
        <f>IF(AND(in_Flavor2On=1,EOMONTH(in_Flavor2Run,0)=EOMONTH(E$23,0)),$B$8,0)</f>
        <v/>
      </c>
      <c r="F49" s="43">
        <f>IF(AND(in_Flavor2On=1,EOMONTH(in_Flavor2Run,0)=EOMONTH(F$23,0)),$B$8,0)</f>
        <v/>
      </c>
      <c r="G49" s="43">
        <f>IF(AND(in_Flavor2On=1,EOMONTH(in_Flavor2Run,0)=EOMONTH(G$23,0)),$B$8,0)</f>
        <v/>
      </c>
      <c r="H49" s="43">
        <f>IF(AND(in_Flavor2On=1,EOMONTH(in_Flavor2Run,0)=EOMONTH(H$23,0)),$B$8,0)</f>
        <v/>
      </c>
      <c r="I49" s="43">
        <f>IF(AND(in_Flavor2On=1,EOMONTH(in_Flavor2Run,0)=EOMONTH(I$23,0)),$B$8,0)</f>
        <v/>
      </c>
      <c r="J49" s="43">
        <f>IF(AND(in_Flavor2On=1,EOMONTH(in_Flavor2Run,0)=EOMONTH(J$23,0)),$B$8,0)</f>
        <v/>
      </c>
      <c r="K49" s="43">
        <f>IF(AND(in_Flavor2On=1,EOMONTH(in_Flavor2Run,0)=EOMONTH(K$23,0)),$B$8,0)</f>
        <v/>
      </c>
      <c r="L49" s="43">
        <f>IF(AND(in_Flavor2On=1,EOMONTH(in_Flavor2Run,0)=EOMONTH(L$23,0)),$B$8,0)</f>
        <v/>
      </c>
      <c r="M49" s="43">
        <f>IF(AND(in_Flavor2On=1,EOMONTH(in_Flavor2Run,0)=EOMONTH(M$23,0)),$B$8,0)</f>
        <v/>
      </c>
      <c r="N49" s="43">
        <f>IF(AND(in_Flavor2On=1,EOMONTH(in_Flavor2Run,0)=EOMONTH(N$23,0)),$B$8,0)</f>
        <v/>
      </c>
      <c r="O49" s="43">
        <f>IF(AND(in_Flavor2On=1,EOMONTH(in_Flavor2Run,0)=EOMONTH(O$23,0)),$B$8,0)</f>
        <v/>
      </c>
      <c r="P49" s="43">
        <f>IF(AND(in_Flavor2On=1,EOMONTH(in_Flavor2Run,0)=EOMONTH(P$23,0)),$B$8,0)</f>
        <v/>
      </c>
      <c r="Q49" s="43">
        <f>IF(AND(in_Flavor2On=1,EOMONTH(in_Flavor2Run,0)=EOMONTH(Q$23,0)),$B$8,0)</f>
        <v/>
      </c>
      <c r="R49" s="44">
        <f>SUM(C49:Q49)</f>
        <v/>
      </c>
    </row>
    <row r="50">
      <c r="A50" s="10" t="inlineStr">
        <is>
          <t>Reorders received (placed lead-time months earlier)</t>
        </is>
      </c>
      <c r="B50" s="6" t="inlineStr">
        <is>
          <t>Lead-time input</t>
        </is>
      </c>
      <c r="C50" s="43">
        <f>IF(in_Lead=1,0,IF(in_Lead=2,0,IF(in_Lead=3,0,0)))</f>
        <v/>
      </c>
      <c r="D50" s="43">
        <f>IF(in_Lead=1,C52,IF(in_Lead=2,0,IF(in_Lead=3,0,0)))</f>
        <v/>
      </c>
      <c r="E50" s="43">
        <f>IF(in_Lead=1,D52,IF(in_Lead=2,C52,IF(in_Lead=3,0,0)))</f>
        <v/>
      </c>
      <c r="F50" s="43">
        <f>IF(in_Lead=1,E52,IF(in_Lead=2,D52,IF(in_Lead=3,C52,0)))</f>
        <v/>
      </c>
      <c r="G50" s="43">
        <f>IF(in_Lead=1,F52,IF(in_Lead=2,E52,IF(in_Lead=3,D52,0)))</f>
        <v/>
      </c>
      <c r="H50" s="43">
        <f>IF(in_Lead=1,G52,IF(in_Lead=2,F52,IF(in_Lead=3,E52,0)))</f>
        <v/>
      </c>
      <c r="I50" s="43">
        <f>IF(in_Lead=1,H52,IF(in_Lead=2,G52,IF(in_Lead=3,F52,0)))</f>
        <v/>
      </c>
      <c r="J50" s="43">
        <f>IF(in_Lead=1,I52,IF(in_Lead=2,H52,IF(in_Lead=3,G52,0)))</f>
        <v/>
      </c>
      <c r="K50" s="43">
        <f>IF(in_Lead=1,J52,IF(in_Lead=2,I52,IF(in_Lead=3,H52,0)))</f>
        <v/>
      </c>
      <c r="L50" s="43">
        <f>IF(in_Lead=1,K52,IF(in_Lead=2,J52,IF(in_Lead=3,I52,0)))</f>
        <v/>
      </c>
      <c r="M50" s="43">
        <f>IF(in_Lead=1,L52,IF(in_Lead=2,K52,IF(in_Lead=3,J52,0)))</f>
        <v/>
      </c>
      <c r="N50" s="43">
        <f>IF(in_Lead=1,M52,IF(in_Lead=2,L52,IF(in_Lead=3,K52,0)))</f>
        <v/>
      </c>
      <c r="O50" s="43">
        <f>IF(in_Lead=1,N52,IF(in_Lead=2,M52,IF(in_Lead=3,L52,0)))</f>
        <v/>
      </c>
      <c r="P50" s="43">
        <f>IF(in_Lead=1,O52,IF(in_Lead=2,N52,IF(in_Lead=3,M52,0)))</f>
        <v/>
      </c>
      <c r="Q50" s="43">
        <f>IF(in_Lead=1,P52,IF(in_Lead=2,O52,IF(in_Lead=3,N52,0)))</f>
        <v/>
      </c>
      <c r="R50" s="44">
        <f>SUM(C50:Q50)</f>
        <v/>
      </c>
    </row>
    <row r="51">
      <c r="A51" s="10" t="inlineStr">
        <is>
          <t>On order, still in transit after this month</t>
        </is>
      </c>
      <c r="C51" s="43">
        <f>IF(in_Lead&gt;=2,0,0)+IF(in_Lead&gt;=3,0,0)</f>
        <v/>
      </c>
      <c r="D51" s="43">
        <f>IF(in_Lead&gt;=2,C52,0)+IF(in_Lead&gt;=3,0,0)</f>
        <v/>
      </c>
      <c r="E51" s="43">
        <f>IF(in_Lead&gt;=2,D52,0)+IF(in_Lead&gt;=3,C52,0)</f>
        <v/>
      </c>
      <c r="F51" s="43">
        <f>IF(in_Lead&gt;=2,E52,0)+IF(in_Lead&gt;=3,D52,0)</f>
        <v/>
      </c>
      <c r="G51" s="43">
        <f>IF(in_Lead&gt;=2,F52,0)+IF(in_Lead&gt;=3,E52,0)</f>
        <v/>
      </c>
      <c r="H51" s="43">
        <f>IF(in_Lead&gt;=2,G52,0)+IF(in_Lead&gt;=3,F52,0)</f>
        <v/>
      </c>
      <c r="I51" s="43">
        <f>IF(in_Lead&gt;=2,H52,0)+IF(in_Lead&gt;=3,G52,0)</f>
        <v/>
      </c>
      <c r="J51" s="43">
        <f>IF(in_Lead&gt;=2,I52,0)+IF(in_Lead&gt;=3,H52,0)</f>
        <v/>
      </c>
      <c r="K51" s="43">
        <f>IF(in_Lead&gt;=2,J52,0)+IF(in_Lead&gt;=3,I52,0)</f>
        <v/>
      </c>
      <c r="L51" s="43">
        <f>IF(in_Lead&gt;=2,K52,0)+IF(in_Lead&gt;=3,J52,0)</f>
        <v/>
      </c>
      <c r="M51" s="43">
        <f>IF(in_Lead&gt;=2,L52,0)+IF(in_Lead&gt;=3,K52,0)</f>
        <v/>
      </c>
      <c r="N51" s="43">
        <f>IF(in_Lead&gt;=2,M52,0)+IF(in_Lead&gt;=3,L52,0)</f>
        <v/>
      </c>
      <c r="O51" s="43">
        <f>IF(in_Lead&gt;=2,N52,0)+IF(in_Lead&gt;=3,M52,0)</f>
        <v/>
      </c>
      <c r="P51" s="43">
        <f>IF(in_Lead&gt;=2,O52,0)+IF(in_Lead&gt;=3,N52,0)</f>
        <v/>
      </c>
      <c r="Q51" s="43">
        <f>IF(in_Lead&gt;=2,P52,0)+IF(in_Lead&gt;=3,O52,0)</f>
        <v/>
      </c>
    </row>
    <row r="52">
      <c r="A52" s="10" t="inlineStr">
        <is>
          <t>Reorder placed and paid (stock + on order below reorder point)</t>
        </is>
      </c>
      <c r="B52" s="6" t="inlineStr">
        <is>
          <t>Paid when placed</t>
        </is>
      </c>
      <c r="C52" s="43">
        <f>IF(C24=1,IF(C47+C48+C49+C50+C51&lt;C46*in_Cover,ROUNDUP((C46*in_Cover-(C47+C48+C49+C50+C51))/$B$8,0)*$B$8,0),0)</f>
        <v/>
      </c>
      <c r="D52" s="43">
        <f>IF(D24=1,IF(D47+D48+D49+D50+D51&lt;D46*in_Cover,ROUNDUP((D46*in_Cover-(D47+D48+D49+D50+D51))/$B$8,0)*$B$8,0),0)</f>
        <v/>
      </c>
      <c r="E52" s="43">
        <f>IF(E24=1,IF(E47+E48+E49+E50+E51&lt;E46*in_Cover,ROUNDUP((E46*in_Cover-(E47+E48+E49+E50+E51))/$B$8,0)*$B$8,0),0)</f>
        <v/>
      </c>
      <c r="F52" s="43">
        <f>IF(F24=1,IF(F47+F48+F49+F50+F51&lt;F46*in_Cover,ROUNDUP((F46*in_Cover-(F47+F48+F49+F50+F51))/$B$8,0)*$B$8,0),0)</f>
        <v/>
      </c>
      <c r="G52" s="43">
        <f>IF(G24=1,IF(G47+G48+G49+G50+G51&lt;G46*in_Cover,ROUNDUP((G46*in_Cover-(G47+G48+G49+G50+G51))/$B$8,0)*$B$8,0),0)</f>
        <v/>
      </c>
      <c r="H52" s="43">
        <f>IF(H24=1,IF(H47+H48+H49+H50+H51&lt;H46*in_Cover,ROUNDUP((H46*in_Cover-(H47+H48+H49+H50+H51))/$B$8,0)*$B$8,0),0)</f>
        <v/>
      </c>
      <c r="I52" s="43">
        <f>IF(I24=1,IF(I47+I48+I49+I50+I51&lt;I46*in_Cover,ROUNDUP((I46*in_Cover-(I47+I48+I49+I50+I51))/$B$8,0)*$B$8,0),0)</f>
        <v/>
      </c>
      <c r="J52" s="43">
        <f>IF(J24=1,IF(J47+J48+J49+J50+J51&lt;J46*in_Cover,ROUNDUP((J46*in_Cover-(J47+J48+J49+J50+J51))/$B$8,0)*$B$8,0),0)</f>
        <v/>
      </c>
      <c r="K52" s="43">
        <f>IF(K24=1,IF(K47+K48+K49+K50+K51&lt;K46*in_Cover,ROUNDUP((K46*in_Cover-(K47+K48+K49+K50+K51))/$B$8,0)*$B$8,0),0)</f>
        <v/>
      </c>
      <c r="L52" s="43">
        <f>IF(L24=1,IF(L47+L48+L49+L50+L51&lt;L46*in_Cover,ROUNDUP((L46*in_Cover-(L47+L48+L49+L50+L51))/$B$8,0)*$B$8,0),0)</f>
        <v/>
      </c>
      <c r="M52" s="43">
        <f>IF(M24=1,IF(M47+M48+M49+M50+M51&lt;M46*in_Cover,ROUNDUP((M46*in_Cover-(M47+M48+M49+M50+M51))/$B$8,0)*$B$8,0),0)</f>
        <v/>
      </c>
      <c r="N52" s="43">
        <f>IF(N24=1,IF(N47+N48+N49+N50+N51&lt;N46*in_Cover,ROUNDUP((N46*in_Cover-(N47+N48+N49+N50+N51))/$B$8,0)*$B$8,0),0)</f>
        <v/>
      </c>
      <c r="O52" s="43">
        <f>IF(O24=1,IF(O47+O48+O49+O50+O51&lt;O46*in_Cover,ROUNDUP((O46*in_Cover-(O47+O48+O49+O50+O51))/$B$8,0)*$B$8,0),0)</f>
        <v/>
      </c>
      <c r="P52" s="43">
        <f>IF(P24=1,IF(P47+P48+P49+P50+P51&lt;P46*in_Cover,ROUNDUP((P46*in_Cover-(P47+P48+P49+P50+P51))/$B$8,0)*$B$8,0),0)</f>
        <v/>
      </c>
      <c r="Q52" s="43">
        <f>IF(Q24=1,IF(Q47+Q48+Q49+Q50+Q51&lt;Q46*in_Cover,ROUNDUP((Q46*in_Cover-(Q47+Q48+Q49+Q50+Q51))/$B$8,0)*$B$8,0),0)</f>
        <v/>
      </c>
      <c r="R52" s="44">
        <f>SUM(C52:Q52)</f>
        <v/>
      </c>
    </row>
    <row r="53">
      <c r="A53" s="10" t="inlineStr">
        <is>
          <t>Pouches sold</t>
        </is>
      </c>
      <c r="C53" s="43">
        <f>MIN(C46,C47+C48+C49+C50)</f>
        <v/>
      </c>
      <c r="D53" s="43">
        <f>MIN(D46,D47+D48+D49+D50)</f>
        <v/>
      </c>
      <c r="E53" s="43">
        <f>MIN(E46,E47+E48+E49+E50)</f>
        <v/>
      </c>
      <c r="F53" s="43">
        <f>MIN(F46,F47+F48+F49+F50)</f>
        <v/>
      </c>
      <c r="G53" s="43">
        <f>MIN(G46,G47+G48+G49+G50)</f>
        <v/>
      </c>
      <c r="H53" s="43">
        <f>MIN(H46,H47+H48+H49+H50)</f>
        <v/>
      </c>
      <c r="I53" s="43">
        <f>MIN(I46,I47+I48+I49+I50)</f>
        <v/>
      </c>
      <c r="J53" s="43">
        <f>MIN(J46,J47+J48+J49+J50)</f>
        <v/>
      </c>
      <c r="K53" s="43">
        <f>MIN(K46,K47+K48+K49+K50)</f>
        <v/>
      </c>
      <c r="L53" s="43">
        <f>MIN(L46,L47+L48+L49+L50)</f>
        <v/>
      </c>
      <c r="M53" s="43">
        <f>MIN(M46,M47+M48+M49+M50)</f>
        <v/>
      </c>
      <c r="N53" s="43">
        <f>MIN(N46,N47+N48+N49+N50)</f>
        <v/>
      </c>
      <c r="O53" s="43">
        <f>MIN(O46,O47+O48+O49+O50)</f>
        <v/>
      </c>
      <c r="P53" s="43">
        <f>MIN(P46,P47+P48+P49+P50)</f>
        <v/>
      </c>
      <c r="Q53" s="43">
        <f>MIN(Q46,Q47+Q48+Q49+Q50)</f>
        <v/>
      </c>
      <c r="R53" s="44">
        <f>SUM(C53:Q53)</f>
        <v/>
      </c>
    </row>
    <row r="54">
      <c r="A54" s="10" t="inlineStr">
        <is>
          <t>Pouch shortfall (check: should be 0)</t>
        </is>
      </c>
      <c r="B54" s="6" t="inlineStr">
        <is>
          <t>Must stay 0</t>
        </is>
      </c>
      <c r="C54" s="43">
        <f>C46-C53</f>
        <v/>
      </c>
      <c r="D54" s="43">
        <f>D46-D53</f>
        <v/>
      </c>
      <c r="E54" s="43">
        <f>E46-E53</f>
        <v/>
      </c>
      <c r="F54" s="43">
        <f>F46-F53</f>
        <v/>
      </c>
      <c r="G54" s="43">
        <f>G46-G53</f>
        <v/>
      </c>
      <c r="H54" s="43">
        <f>H46-H53</f>
        <v/>
      </c>
      <c r="I54" s="43">
        <f>I46-I53</f>
        <v/>
      </c>
      <c r="J54" s="43">
        <f>J46-J53</f>
        <v/>
      </c>
      <c r="K54" s="43">
        <f>K46-K53</f>
        <v/>
      </c>
      <c r="L54" s="43">
        <f>L46-L53</f>
        <v/>
      </c>
      <c r="M54" s="43">
        <f>M46-M53</f>
        <v/>
      </c>
      <c r="N54" s="43">
        <f>N46-N53</f>
        <v/>
      </c>
      <c r="O54" s="43">
        <f>O46-O53</f>
        <v/>
      </c>
      <c r="P54" s="43">
        <f>P46-P53</f>
        <v/>
      </c>
      <c r="Q54" s="43">
        <f>Q46-Q53</f>
        <v/>
      </c>
      <c r="R54" s="44">
        <f>SUM(C54:Q54)</f>
        <v/>
      </c>
    </row>
    <row r="55">
      <c r="A55" s="10" t="inlineStr">
        <is>
          <t>Closing stock</t>
        </is>
      </c>
      <c r="C55" s="43">
        <f>C47+C48+C49+C50-C53</f>
        <v/>
      </c>
      <c r="D55" s="43">
        <f>D47+D48+D49+D50-D53</f>
        <v/>
      </c>
      <c r="E55" s="43">
        <f>E47+E48+E49+E50-E53</f>
        <v/>
      </c>
      <c r="F55" s="43">
        <f>F47+F48+F49+F50-F53</f>
        <v/>
      </c>
      <c r="G55" s="43">
        <f>G47+G48+G49+G50-G53</f>
        <v/>
      </c>
      <c r="H55" s="43">
        <f>H47+H48+H49+H50-H53</f>
        <v/>
      </c>
      <c r="I55" s="43">
        <f>I47+I48+I49+I50-I53</f>
        <v/>
      </c>
      <c r="J55" s="43">
        <f>J47+J48+J49+J50-J53</f>
        <v/>
      </c>
      <c r="K55" s="43">
        <f>K47+K48+K49+K50-K53</f>
        <v/>
      </c>
      <c r="L55" s="43">
        <f>L47+L48+L49+L50-L53</f>
        <v/>
      </c>
      <c r="M55" s="43">
        <f>M47+M48+M49+M50-M53</f>
        <v/>
      </c>
      <c r="N55" s="43">
        <f>N47+N48+N49+N50-N53</f>
        <v/>
      </c>
      <c r="O55" s="43">
        <f>O47+O48+O49+O50-O53</f>
        <v/>
      </c>
      <c r="P55" s="43">
        <f>P47+P48+P49+P50-P53</f>
        <v/>
      </c>
      <c r="Q55" s="43">
        <f>Q47+Q48+Q49+Q50-Q53</f>
        <v/>
      </c>
    </row>
    <row r="57">
      <c r="A57" s="7" t="inlineStr">
        <is>
          <t>Protein stick inventory (units)</t>
        </is>
      </c>
      <c r="B57" s="8" t="n"/>
      <c r="C57" s="8" t="n"/>
      <c r="D57" s="8" t="n"/>
      <c r="E57" s="8" t="n"/>
      <c r="F57" s="8" t="n"/>
      <c r="G57" s="8" t="n"/>
      <c r="H57" s="8" t="n"/>
      <c r="I57" s="8" t="n"/>
      <c r="J57" s="8" t="n"/>
      <c r="K57" s="8" t="n"/>
      <c r="L57" s="8" t="n"/>
      <c r="M57" s="8" t="n"/>
      <c r="N57" s="8" t="n"/>
      <c r="O57" s="8" t="n"/>
      <c r="P57" s="8" t="n"/>
      <c r="Q57" s="8" t="n"/>
      <c r="R57" s="8" t="n"/>
    </row>
    <row r="58">
      <c r="A58" s="10" t="inlineStr">
        <is>
          <t>Stick demand</t>
        </is>
      </c>
      <c r="C58" s="43">
        <f>C37*in_SticksPerBox+C43</f>
        <v/>
      </c>
      <c r="D58" s="43">
        <f>D37*in_SticksPerBox+D43</f>
        <v/>
      </c>
      <c r="E58" s="43">
        <f>E37*in_SticksPerBox+E43</f>
        <v/>
      </c>
      <c r="F58" s="43">
        <f>F37*in_SticksPerBox+F43</f>
        <v/>
      </c>
      <c r="G58" s="43">
        <f>G37*in_SticksPerBox+G43</f>
        <v/>
      </c>
      <c r="H58" s="43">
        <f>H37*in_SticksPerBox+H43</f>
        <v/>
      </c>
      <c r="I58" s="43">
        <f>I37*in_SticksPerBox+I43</f>
        <v/>
      </c>
      <c r="J58" s="43">
        <f>J37*in_SticksPerBox+J43</f>
        <v/>
      </c>
      <c r="K58" s="43">
        <f>K37*in_SticksPerBox+K43</f>
        <v/>
      </c>
      <c r="L58" s="43">
        <f>L37*in_SticksPerBox+L43</f>
        <v/>
      </c>
      <c r="M58" s="43">
        <f>M37*in_SticksPerBox+M43</f>
        <v/>
      </c>
      <c r="N58" s="43">
        <f>N37*in_SticksPerBox+N43</f>
        <v/>
      </c>
      <c r="O58" s="43">
        <f>O37*in_SticksPerBox+O43</f>
        <v/>
      </c>
      <c r="P58" s="43">
        <f>P37*in_SticksPerBox+P43</f>
        <v/>
      </c>
      <c r="Q58" s="43">
        <f>Q37*in_SticksPerBox+Q43</f>
        <v/>
      </c>
      <c r="R58" s="44">
        <f>SUM(C58:Q58)</f>
        <v/>
      </c>
    </row>
    <row r="59">
      <c r="A59" s="10" t="inlineStr">
        <is>
          <t>Opening stock</t>
        </is>
      </c>
      <c r="C59" s="43">
        <f>0</f>
        <v/>
      </c>
      <c r="D59" s="43">
        <f>C66</f>
        <v/>
      </c>
      <c r="E59" s="43">
        <f>D66</f>
        <v/>
      </c>
      <c r="F59" s="43">
        <f>E66</f>
        <v/>
      </c>
      <c r="G59" s="43">
        <f>F66</f>
        <v/>
      </c>
      <c r="H59" s="43">
        <f>G66</f>
        <v/>
      </c>
      <c r="I59" s="43">
        <f>H66</f>
        <v/>
      </c>
      <c r="J59" s="43">
        <f>I66</f>
        <v/>
      </c>
      <c r="K59" s="43">
        <f>J66</f>
        <v/>
      </c>
      <c r="L59" s="43">
        <f>K66</f>
        <v/>
      </c>
      <c r="M59" s="43">
        <f>L66</f>
        <v/>
      </c>
      <c r="N59" s="43">
        <f>M66</f>
        <v/>
      </c>
      <c r="O59" s="43">
        <f>N66</f>
        <v/>
      </c>
      <c r="P59" s="43">
        <f>O66</f>
        <v/>
      </c>
      <c r="Q59" s="43">
        <f>P66</f>
        <v/>
      </c>
    </row>
    <row r="60">
      <c r="A60" s="10" t="inlineStr">
        <is>
          <t>First run received</t>
        </is>
      </c>
      <c r="C60" s="43">
        <f>IF(EOMONTH(in_FirstShip,0)=EOMONTH(C$23,0),$B$9,0)</f>
        <v/>
      </c>
      <c r="D60" s="43">
        <f>IF(EOMONTH(in_FirstShip,0)=EOMONTH(D$23,0),$B$9,0)</f>
        <v/>
      </c>
      <c r="E60" s="43">
        <f>IF(EOMONTH(in_FirstShip,0)=EOMONTH(E$23,0),$B$9,0)</f>
        <v/>
      </c>
      <c r="F60" s="43">
        <f>IF(EOMONTH(in_FirstShip,0)=EOMONTH(F$23,0),$B$9,0)</f>
        <v/>
      </c>
      <c r="G60" s="43">
        <f>IF(EOMONTH(in_FirstShip,0)=EOMONTH(G$23,0),$B$9,0)</f>
        <v/>
      </c>
      <c r="H60" s="43">
        <f>IF(EOMONTH(in_FirstShip,0)=EOMONTH(H$23,0),$B$9,0)</f>
        <v/>
      </c>
      <c r="I60" s="43">
        <f>IF(EOMONTH(in_FirstShip,0)=EOMONTH(I$23,0),$B$9,0)</f>
        <v/>
      </c>
      <c r="J60" s="43">
        <f>IF(EOMONTH(in_FirstShip,0)=EOMONTH(J$23,0),$B$9,0)</f>
        <v/>
      </c>
      <c r="K60" s="43">
        <f>IF(EOMONTH(in_FirstShip,0)=EOMONTH(K$23,0),$B$9,0)</f>
        <v/>
      </c>
      <c r="L60" s="43">
        <f>IF(EOMONTH(in_FirstShip,0)=EOMONTH(L$23,0),$B$9,0)</f>
        <v/>
      </c>
      <c r="M60" s="43">
        <f>IF(EOMONTH(in_FirstShip,0)=EOMONTH(M$23,0),$B$9,0)</f>
        <v/>
      </c>
      <c r="N60" s="43">
        <f>IF(EOMONTH(in_FirstShip,0)=EOMONTH(N$23,0),$B$9,0)</f>
        <v/>
      </c>
      <c r="O60" s="43">
        <f>IF(EOMONTH(in_FirstShip,0)=EOMONTH(O$23,0),$B$9,0)</f>
        <v/>
      </c>
      <c r="P60" s="43">
        <f>IF(EOMONTH(in_FirstShip,0)=EOMONTH(P$23,0),$B$9,0)</f>
        <v/>
      </c>
      <c r="Q60" s="43">
        <f>IF(EOMONTH(in_FirstShip,0)=EOMONTH(Q$23,0),$B$9,0)</f>
        <v/>
      </c>
      <c r="R60" s="44">
        <f>SUM(C60:Q60)</f>
        <v/>
      </c>
    </row>
    <row r="61">
      <c r="A61" s="10" t="inlineStr">
        <is>
          <t>Reorders received (placed lead-time months earlier)</t>
        </is>
      </c>
      <c r="C61" s="43">
        <f>IF(in_Lead=1,0,IF(in_Lead=2,0,IF(in_Lead=3,0,0)))</f>
        <v/>
      </c>
      <c r="D61" s="43">
        <f>IF(in_Lead=1,C63,IF(in_Lead=2,0,IF(in_Lead=3,0,0)))</f>
        <v/>
      </c>
      <c r="E61" s="43">
        <f>IF(in_Lead=1,D63,IF(in_Lead=2,C63,IF(in_Lead=3,0,0)))</f>
        <v/>
      </c>
      <c r="F61" s="43">
        <f>IF(in_Lead=1,E63,IF(in_Lead=2,D63,IF(in_Lead=3,C63,0)))</f>
        <v/>
      </c>
      <c r="G61" s="43">
        <f>IF(in_Lead=1,F63,IF(in_Lead=2,E63,IF(in_Lead=3,D63,0)))</f>
        <v/>
      </c>
      <c r="H61" s="43">
        <f>IF(in_Lead=1,G63,IF(in_Lead=2,F63,IF(in_Lead=3,E63,0)))</f>
        <v/>
      </c>
      <c r="I61" s="43">
        <f>IF(in_Lead=1,H63,IF(in_Lead=2,G63,IF(in_Lead=3,F63,0)))</f>
        <v/>
      </c>
      <c r="J61" s="43">
        <f>IF(in_Lead=1,I63,IF(in_Lead=2,H63,IF(in_Lead=3,G63,0)))</f>
        <v/>
      </c>
      <c r="K61" s="43">
        <f>IF(in_Lead=1,J63,IF(in_Lead=2,I63,IF(in_Lead=3,H63,0)))</f>
        <v/>
      </c>
      <c r="L61" s="43">
        <f>IF(in_Lead=1,K63,IF(in_Lead=2,J63,IF(in_Lead=3,I63,0)))</f>
        <v/>
      </c>
      <c r="M61" s="43">
        <f>IF(in_Lead=1,L63,IF(in_Lead=2,K63,IF(in_Lead=3,J63,0)))</f>
        <v/>
      </c>
      <c r="N61" s="43">
        <f>IF(in_Lead=1,M63,IF(in_Lead=2,L63,IF(in_Lead=3,K63,0)))</f>
        <v/>
      </c>
      <c r="O61" s="43">
        <f>IF(in_Lead=1,N63,IF(in_Lead=2,M63,IF(in_Lead=3,L63,0)))</f>
        <v/>
      </c>
      <c r="P61" s="43">
        <f>IF(in_Lead=1,O63,IF(in_Lead=2,N63,IF(in_Lead=3,M63,0)))</f>
        <v/>
      </c>
      <c r="Q61" s="43">
        <f>IF(in_Lead=1,P63,IF(in_Lead=2,O63,IF(in_Lead=3,N63,0)))</f>
        <v/>
      </c>
      <c r="R61" s="44">
        <f>SUM(C61:Q61)</f>
        <v/>
      </c>
    </row>
    <row r="62">
      <c r="A62" s="10" t="inlineStr">
        <is>
          <t>On order, still in transit after this month</t>
        </is>
      </c>
      <c r="C62" s="43">
        <f>IF(in_Lead&gt;=2,0,0)+IF(in_Lead&gt;=3,0,0)</f>
        <v/>
      </c>
      <c r="D62" s="43">
        <f>IF(in_Lead&gt;=2,C63,0)+IF(in_Lead&gt;=3,0,0)</f>
        <v/>
      </c>
      <c r="E62" s="43">
        <f>IF(in_Lead&gt;=2,D63,0)+IF(in_Lead&gt;=3,C63,0)</f>
        <v/>
      </c>
      <c r="F62" s="43">
        <f>IF(in_Lead&gt;=2,E63,0)+IF(in_Lead&gt;=3,D63,0)</f>
        <v/>
      </c>
      <c r="G62" s="43">
        <f>IF(in_Lead&gt;=2,F63,0)+IF(in_Lead&gt;=3,E63,0)</f>
        <v/>
      </c>
      <c r="H62" s="43">
        <f>IF(in_Lead&gt;=2,G63,0)+IF(in_Lead&gt;=3,F63,0)</f>
        <v/>
      </c>
      <c r="I62" s="43">
        <f>IF(in_Lead&gt;=2,H63,0)+IF(in_Lead&gt;=3,G63,0)</f>
        <v/>
      </c>
      <c r="J62" s="43">
        <f>IF(in_Lead&gt;=2,I63,0)+IF(in_Lead&gt;=3,H63,0)</f>
        <v/>
      </c>
      <c r="K62" s="43">
        <f>IF(in_Lead&gt;=2,J63,0)+IF(in_Lead&gt;=3,I63,0)</f>
        <v/>
      </c>
      <c r="L62" s="43">
        <f>IF(in_Lead&gt;=2,K63,0)+IF(in_Lead&gt;=3,J63,0)</f>
        <v/>
      </c>
      <c r="M62" s="43">
        <f>IF(in_Lead&gt;=2,L63,0)+IF(in_Lead&gt;=3,K63,0)</f>
        <v/>
      </c>
      <c r="N62" s="43">
        <f>IF(in_Lead&gt;=2,M63,0)+IF(in_Lead&gt;=3,L63,0)</f>
        <v/>
      </c>
      <c r="O62" s="43">
        <f>IF(in_Lead&gt;=2,N63,0)+IF(in_Lead&gt;=3,M63,0)</f>
        <v/>
      </c>
      <c r="P62" s="43">
        <f>IF(in_Lead&gt;=2,O63,0)+IF(in_Lead&gt;=3,N63,0)</f>
        <v/>
      </c>
      <c r="Q62" s="43">
        <f>IF(in_Lead&gt;=2,P63,0)+IF(in_Lead&gt;=3,O63,0)</f>
        <v/>
      </c>
    </row>
    <row r="63">
      <c r="A63" s="10" t="inlineStr">
        <is>
          <t>Reorder placed and paid</t>
        </is>
      </c>
      <c r="C63" s="43">
        <f>IF(C24=1,IF(C59+C60+C61+C62&lt;C58*in_Cover,ROUNDUP((C58*in_Cover-(C59+C60+C61+C62))/$B$9,0)*$B$9,0),0)</f>
        <v/>
      </c>
      <c r="D63" s="43">
        <f>IF(D24=1,IF(D59+D60+D61+D62&lt;D58*in_Cover,ROUNDUP((D58*in_Cover-(D59+D60+D61+D62))/$B$9,0)*$B$9,0),0)</f>
        <v/>
      </c>
      <c r="E63" s="43">
        <f>IF(E24=1,IF(E59+E60+E61+E62&lt;E58*in_Cover,ROUNDUP((E58*in_Cover-(E59+E60+E61+E62))/$B$9,0)*$B$9,0),0)</f>
        <v/>
      </c>
      <c r="F63" s="43">
        <f>IF(F24=1,IF(F59+F60+F61+F62&lt;F58*in_Cover,ROUNDUP((F58*in_Cover-(F59+F60+F61+F62))/$B$9,0)*$B$9,0),0)</f>
        <v/>
      </c>
      <c r="G63" s="43">
        <f>IF(G24=1,IF(G59+G60+G61+G62&lt;G58*in_Cover,ROUNDUP((G58*in_Cover-(G59+G60+G61+G62))/$B$9,0)*$B$9,0),0)</f>
        <v/>
      </c>
      <c r="H63" s="43">
        <f>IF(H24=1,IF(H59+H60+H61+H62&lt;H58*in_Cover,ROUNDUP((H58*in_Cover-(H59+H60+H61+H62))/$B$9,0)*$B$9,0),0)</f>
        <v/>
      </c>
      <c r="I63" s="43">
        <f>IF(I24=1,IF(I59+I60+I61+I62&lt;I58*in_Cover,ROUNDUP((I58*in_Cover-(I59+I60+I61+I62))/$B$9,0)*$B$9,0),0)</f>
        <v/>
      </c>
      <c r="J63" s="43">
        <f>IF(J24=1,IF(J59+J60+J61+J62&lt;J58*in_Cover,ROUNDUP((J58*in_Cover-(J59+J60+J61+J62))/$B$9,0)*$B$9,0),0)</f>
        <v/>
      </c>
      <c r="K63" s="43">
        <f>IF(K24=1,IF(K59+K60+K61+K62&lt;K58*in_Cover,ROUNDUP((K58*in_Cover-(K59+K60+K61+K62))/$B$9,0)*$B$9,0),0)</f>
        <v/>
      </c>
      <c r="L63" s="43">
        <f>IF(L24=1,IF(L59+L60+L61+L62&lt;L58*in_Cover,ROUNDUP((L58*in_Cover-(L59+L60+L61+L62))/$B$9,0)*$B$9,0),0)</f>
        <v/>
      </c>
      <c r="M63" s="43">
        <f>IF(M24=1,IF(M59+M60+M61+M62&lt;M58*in_Cover,ROUNDUP((M58*in_Cover-(M59+M60+M61+M62))/$B$9,0)*$B$9,0),0)</f>
        <v/>
      </c>
      <c r="N63" s="43">
        <f>IF(N24=1,IF(N59+N60+N61+N62&lt;N58*in_Cover,ROUNDUP((N58*in_Cover-(N59+N60+N61+N62))/$B$9,0)*$B$9,0),0)</f>
        <v/>
      </c>
      <c r="O63" s="43">
        <f>IF(O24=1,IF(O59+O60+O61+O62&lt;O58*in_Cover,ROUNDUP((O58*in_Cover-(O59+O60+O61+O62))/$B$9,0)*$B$9,0),0)</f>
        <v/>
      </c>
      <c r="P63" s="43">
        <f>IF(P24=1,IF(P59+P60+P61+P62&lt;P58*in_Cover,ROUNDUP((P58*in_Cover-(P59+P60+P61+P62))/$B$9,0)*$B$9,0),0)</f>
        <v/>
      </c>
      <c r="Q63" s="43">
        <f>IF(Q24=1,IF(Q59+Q60+Q61+Q62&lt;Q58*in_Cover,ROUNDUP((Q58*in_Cover-(Q59+Q60+Q61+Q62))/$B$9,0)*$B$9,0),0)</f>
        <v/>
      </c>
      <c r="R63" s="44">
        <f>SUM(C63:Q63)</f>
        <v/>
      </c>
    </row>
    <row r="64">
      <c r="A64" s="10" t="inlineStr">
        <is>
          <t>Sticks sold</t>
        </is>
      </c>
      <c r="C64" s="43">
        <f>MIN(C58,C59+C60+C61)</f>
        <v/>
      </c>
      <c r="D64" s="43">
        <f>MIN(D58,D59+D60+D61)</f>
        <v/>
      </c>
      <c r="E64" s="43">
        <f>MIN(E58,E59+E60+E61)</f>
        <v/>
      </c>
      <c r="F64" s="43">
        <f>MIN(F58,F59+F60+F61)</f>
        <v/>
      </c>
      <c r="G64" s="43">
        <f>MIN(G58,G59+G60+G61)</f>
        <v/>
      </c>
      <c r="H64" s="43">
        <f>MIN(H58,H59+H60+H61)</f>
        <v/>
      </c>
      <c r="I64" s="43">
        <f>MIN(I58,I59+I60+I61)</f>
        <v/>
      </c>
      <c r="J64" s="43">
        <f>MIN(J58,J59+J60+J61)</f>
        <v/>
      </c>
      <c r="K64" s="43">
        <f>MIN(K58,K59+K60+K61)</f>
        <v/>
      </c>
      <c r="L64" s="43">
        <f>MIN(L58,L59+L60+L61)</f>
        <v/>
      </c>
      <c r="M64" s="43">
        <f>MIN(M58,M59+M60+M61)</f>
        <v/>
      </c>
      <c r="N64" s="43">
        <f>MIN(N58,N59+N60+N61)</f>
        <v/>
      </c>
      <c r="O64" s="43">
        <f>MIN(O58,O59+O60+O61)</f>
        <v/>
      </c>
      <c r="P64" s="43">
        <f>MIN(P58,P59+P60+P61)</f>
        <v/>
      </c>
      <c r="Q64" s="43">
        <f>MIN(Q58,Q59+Q60+Q61)</f>
        <v/>
      </c>
      <c r="R64" s="44">
        <f>SUM(C64:Q64)</f>
        <v/>
      </c>
    </row>
    <row r="65">
      <c r="A65" s="10" t="inlineStr">
        <is>
          <t>Stick shortfall (check: should be 0)</t>
        </is>
      </c>
      <c r="B65" s="6" t="inlineStr">
        <is>
          <t>Must stay 0</t>
        </is>
      </c>
      <c r="C65" s="43">
        <f>C58-C64</f>
        <v/>
      </c>
      <c r="D65" s="43">
        <f>D58-D64</f>
        <v/>
      </c>
      <c r="E65" s="43">
        <f>E58-E64</f>
        <v/>
      </c>
      <c r="F65" s="43">
        <f>F58-F64</f>
        <v/>
      </c>
      <c r="G65" s="43">
        <f>G58-G64</f>
        <v/>
      </c>
      <c r="H65" s="43">
        <f>H58-H64</f>
        <v/>
      </c>
      <c r="I65" s="43">
        <f>I58-I64</f>
        <v/>
      </c>
      <c r="J65" s="43">
        <f>J58-J64</f>
        <v/>
      </c>
      <c r="K65" s="43">
        <f>K58-K64</f>
        <v/>
      </c>
      <c r="L65" s="43">
        <f>L58-L64</f>
        <v/>
      </c>
      <c r="M65" s="43">
        <f>M58-M64</f>
        <v/>
      </c>
      <c r="N65" s="43">
        <f>N58-N64</f>
        <v/>
      </c>
      <c r="O65" s="43">
        <f>O58-O64</f>
        <v/>
      </c>
      <c r="P65" s="43">
        <f>P58-P64</f>
        <v/>
      </c>
      <c r="Q65" s="43">
        <f>Q58-Q64</f>
        <v/>
      </c>
      <c r="R65" s="44">
        <f>SUM(C65:Q65)</f>
        <v/>
      </c>
    </row>
    <row r="66">
      <c r="A66" s="10" t="inlineStr">
        <is>
          <t>Closing stock</t>
        </is>
      </c>
      <c r="C66" s="43">
        <f>C59+C60+C61-C64</f>
        <v/>
      </c>
      <c r="D66" s="43">
        <f>D59+D60+D61-D64</f>
        <v/>
      </c>
      <c r="E66" s="43">
        <f>E59+E60+E61-E64</f>
        <v/>
      </c>
      <c r="F66" s="43">
        <f>F59+F60+F61-F64</f>
        <v/>
      </c>
      <c r="G66" s="43">
        <f>G59+G60+G61-G64</f>
        <v/>
      </c>
      <c r="H66" s="43">
        <f>H59+H60+H61-H64</f>
        <v/>
      </c>
      <c r="I66" s="43">
        <f>I59+I60+I61-I64</f>
        <v/>
      </c>
      <c r="J66" s="43">
        <f>J59+J60+J61-J64</f>
        <v/>
      </c>
      <c r="K66" s="43">
        <f>K59+K60+K61-K64</f>
        <v/>
      </c>
      <c r="L66" s="43">
        <f>L59+L60+L61-L64</f>
        <v/>
      </c>
      <c r="M66" s="43">
        <f>M59+M60+M61-M64</f>
        <v/>
      </c>
      <c r="N66" s="43">
        <f>N59+N60+N61-N64</f>
        <v/>
      </c>
      <c r="O66" s="43">
        <f>O59+O60+O61-O64</f>
        <v/>
      </c>
      <c r="P66" s="43">
        <f>P59+P60+P61-P64</f>
        <v/>
      </c>
      <c r="Q66" s="43">
        <f>Q59+Q60+Q61-Q64</f>
        <v/>
      </c>
    </row>
    <row r="68">
      <c r="A68" s="7" t="inlineStr">
        <is>
          <t>Cash in</t>
        </is>
      </c>
      <c r="B68" s="8" t="n"/>
      <c r="C68" s="8" t="n"/>
      <c r="D68" s="8" t="n"/>
      <c r="E68" s="8" t="n"/>
      <c r="F68" s="8" t="n"/>
      <c r="G68" s="8" t="n"/>
      <c r="H68" s="8" t="n"/>
      <c r="I68" s="8" t="n"/>
      <c r="J68" s="8" t="n"/>
      <c r="K68" s="8" t="n"/>
      <c r="L68" s="8" t="n"/>
      <c r="M68" s="8" t="n"/>
      <c r="N68" s="8" t="n"/>
      <c r="O68" s="8" t="n"/>
      <c r="P68" s="8" t="n"/>
      <c r="Q68" s="8" t="n"/>
      <c r="R68" s="8" t="n"/>
    </row>
    <row r="69">
      <c r="A69" s="10" t="inlineStr">
        <is>
          <t>DTC one-off pouches</t>
        </is>
      </c>
      <c r="C69" s="45">
        <f>C35*in_PricePouch</f>
        <v/>
      </c>
      <c r="D69" s="45">
        <f>D35*in_PricePouch</f>
        <v/>
      </c>
      <c r="E69" s="45">
        <f>E35*in_PricePouch</f>
        <v/>
      </c>
      <c r="F69" s="45">
        <f>F35*in_PricePouch</f>
        <v/>
      </c>
      <c r="G69" s="45">
        <f>G35*in_PricePouch</f>
        <v/>
      </c>
      <c r="H69" s="45">
        <f>H35*in_PricePouch</f>
        <v/>
      </c>
      <c r="I69" s="45">
        <f>I35*in_PricePouch</f>
        <v/>
      </c>
      <c r="J69" s="45">
        <f>J35*in_PricePouch</f>
        <v/>
      </c>
      <c r="K69" s="45">
        <f>K35*in_PricePouch</f>
        <v/>
      </c>
      <c r="L69" s="45">
        <f>L35*in_PricePouch</f>
        <v/>
      </c>
      <c r="M69" s="45">
        <f>M35*in_PricePouch</f>
        <v/>
      </c>
      <c r="N69" s="45">
        <f>N35*in_PricePouch</f>
        <v/>
      </c>
      <c r="O69" s="45">
        <f>O35*in_PricePouch</f>
        <v/>
      </c>
      <c r="P69" s="45">
        <f>P35*in_PricePouch</f>
        <v/>
      </c>
      <c r="Q69" s="45">
        <f>Q35*in_PricePouch</f>
        <v/>
      </c>
      <c r="R69" s="46">
        <f>SUM(C69:Q69)</f>
        <v/>
      </c>
    </row>
    <row r="70">
      <c r="A70" s="10" t="inlineStr">
        <is>
          <t>DTC subscription pouches</t>
        </is>
      </c>
      <c r="C70" s="45">
        <f>C32*in_PricePouch*(1-in_SubDisc)</f>
        <v/>
      </c>
      <c r="D70" s="45">
        <f>D32*in_PricePouch*(1-in_SubDisc)</f>
        <v/>
      </c>
      <c r="E70" s="45">
        <f>E32*in_PricePouch*(1-in_SubDisc)</f>
        <v/>
      </c>
      <c r="F70" s="45">
        <f>F32*in_PricePouch*(1-in_SubDisc)</f>
        <v/>
      </c>
      <c r="G70" s="45">
        <f>G32*in_PricePouch*(1-in_SubDisc)</f>
        <v/>
      </c>
      <c r="H70" s="45">
        <f>H32*in_PricePouch*(1-in_SubDisc)</f>
        <v/>
      </c>
      <c r="I70" s="45">
        <f>I32*in_PricePouch*(1-in_SubDisc)</f>
        <v/>
      </c>
      <c r="J70" s="45">
        <f>J32*in_PricePouch*(1-in_SubDisc)</f>
        <v/>
      </c>
      <c r="K70" s="45">
        <f>K32*in_PricePouch*(1-in_SubDisc)</f>
        <v/>
      </c>
      <c r="L70" s="45">
        <f>L32*in_PricePouch*(1-in_SubDisc)</f>
        <v/>
      </c>
      <c r="M70" s="45">
        <f>M32*in_PricePouch*(1-in_SubDisc)</f>
        <v/>
      </c>
      <c r="N70" s="45">
        <f>N32*in_PricePouch*(1-in_SubDisc)</f>
        <v/>
      </c>
      <c r="O70" s="45">
        <f>O32*in_PricePouch*(1-in_SubDisc)</f>
        <v/>
      </c>
      <c r="P70" s="45">
        <f>P32*in_PricePouch*(1-in_SubDisc)</f>
        <v/>
      </c>
      <c r="Q70" s="45">
        <f>Q32*in_PricePouch*(1-in_SubDisc)</f>
        <v/>
      </c>
      <c r="R70" s="46">
        <f>SUM(C70:Q70)</f>
        <v/>
      </c>
    </row>
    <row r="71">
      <c r="A71" s="10" t="inlineStr">
        <is>
          <t>Founding offer discount (waitlist first orders)</t>
        </is>
      </c>
      <c r="C71" s="45">
        <f>-C27*in_PricePouch*in_FoundDisc</f>
        <v/>
      </c>
      <c r="D71" s="45">
        <f>-D27*in_PricePouch*in_FoundDisc</f>
        <v/>
      </c>
      <c r="E71" s="45">
        <f>-E27*in_PricePouch*in_FoundDisc</f>
        <v/>
      </c>
      <c r="F71" s="45">
        <f>-F27*in_PricePouch*in_FoundDisc</f>
        <v/>
      </c>
      <c r="G71" s="45">
        <f>-G27*in_PricePouch*in_FoundDisc</f>
        <v/>
      </c>
      <c r="H71" s="45">
        <f>-H27*in_PricePouch*in_FoundDisc</f>
        <v/>
      </c>
      <c r="I71" s="45">
        <f>-I27*in_PricePouch*in_FoundDisc</f>
        <v/>
      </c>
      <c r="J71" s="45">
        <f>-J27*in_PricePouch*in_FoundDisc</f>
        <v/>
      </c>
      <c r="K71" s="45">
        <f>-K27*in_PricePouch*in_FoundDisc</f>
        <v/>
      </c>
      <c r="L71" s="45">
        <f>-L27*in_PricePouch*in_FoundDisc</f>
        <v/>
      </c>
      <c r="M71" s="45">
        <f>-M27*in_PricePouch*in_FoundDisc</f>
        <v/>
      </c>
      <c r="N71" s="45">
        <f>-N27*in_PricePouch*in_FoundDisc</f>
        <v/>
      </c>
      <c r="O71" s="45">
        <f>-O27*in_PricePouch*in_FoundDisc</f>
        <v/>
      </c>
      <c r="P71" s="45">
        <f>-P27*in_PricePouch*in_FoundDisc</f>
        <v/>
      </c>
      <c r="Q71" s="45">
        <f>-Q27*in_PricePouch*in_FoundDisc</f>
        <v/>
      </c>
      <c r="R71" s="46">
        <f>SUM(C71:Q71)</f>
        <v/>
      </c>
    </row>
    <row r="72">
      <c r="A72" s="10" t="inlineStr">
        <is>
          <t>DTC stick boxes</t>
        </is>
      </c>
      <c r="C72" s="45">
        <f>C37*in_PriceStickBox</f>
        <v/>
      </c>
      <c r="D72" s="45">
        <f>D37*in_PriceStickBox</f>
        <v/>
      </c>
      <c r="E72" s="45">
        <f>E37*in_PriceStickBox</f>
        <v/>
      </c>
      <c r="F72" s="45">
        <f>F37*in_PriceStickBox</f>
        <v/>
      </c>
      <c r="G72" s="45">
        <f>G37*in_PriceStickBox</f>
        <v/>
      </c>
      <c r="H72" s="45">
        <f>H37*in_PriceStickBox</f>
        <v/>
      </c>
      <c r="I72" s="45">
        <f>I37*in_PriceStickBox</f>
        <v/>
      </c>
      <c r="J72" s="45">
        <f>J37*in_PriceStickBox</f>
        <v/>
      </c>
      <c r="K72" s="45">
        <f>K37*in_PriceStickBox</f>
        <v/>
      </c>
      <c r="L72" s="45">
        <f>L37*in_PriceStickBox</f>
        <v/>
      </c>
      <c r="M72" s="45">
        <f>M37*in_PriceStickBox</f>
        <v/>
      </c>
      <c r="N72" s="45">
        <f>N37*in_PriceStickBox</f>
        <v/>
      </c>
      <c r="O72" s="45">
        <f>O37*in_PriceStickBox</f>
        <v/>
      </c>
      <c r="P72" s="45">
        <f>P37*in_PriceStickBox</f>
        <v/>
      </c>
      <c r="Q72" s="45">
        <f>Q37*in_PriceStickBox</f>
        <v/>
      </c>
      <c r="R72" s="46">
        <f>SUM(C72:Q72)</f>
        <v/>
      </c>
    </row>
    <row r="73">
      <c r="A73" s="10" t="inlineStr">
        <is>
          <t>Shipping charged to customers</t>
        </is>
      </c>
      <c r="C73" s="45">
        <f>IF(in_FreeShip=1,0,(C36+C37)*in_ShipCharge)</f>
        <v/>
      </c>
      <c r="D73" s="45">
        <f>IF(in_FreeShip=1,0,(D36+D37)*in_ShipCharge)</f>
        <v/>
      </c>
      <c r="E73" s="45">
        <f>IF(in_FreeShip=1,0,(E36+E37)*in_ShipCharge)</f>
        <v/>
      </c>
      <c r="F73" s="45">
        <f>IF(in_FreeShip=1,0,(F36+F37)*in_ShipCharge)</f>
        <v/>
      </c>
      <c r="G73" s="45">
        <f>IF(in_FreeShip=1,0,(G36+G37)*in_ShipCharge)</f>
        <v/>
      </c>
      <c r="H73" s="45">
        <f>IF(in_FreeShip=1,0,(H36+H37)*in_ShipCharge)</f>
        <v/>
      </c>
      <c r="I73" s="45">
        <f>IF(in_FreeShip=1,0,(I36+I37)*in_ShipCharge)</f>
        <v/>
      </c>
      <c r="J73" s="45">
        <f>IF(in_FreeShip=1,0,(J36+J37)*in_ShipCharge)</f>
        <v/>
      </c>
      <c r="K73" s="45">
        <f>IF(in_FreeShip=1,0,(K36+K37)*in_ShipCharge)</f>
        <v/>
      </c>
      <c r="L73" s="45">
        <f>IF(in_FreeShip=1,0,(L36+L37)*in_ShipCharge)</f>
        <v/>
      </c>
      <c r="M73" s="45">
        <f>IF(in_FreeShip=1,0,(M36+M37)*in_ShipCharge)</f>
        <v/>
      </c>
      <c r="N73" s="45">
        <f>IF(in_FreeShip=1,0,(N36+N37)*in_ShipCharge)</f>
        <v/>
      </c>
      <c r="O73" s="45">
        <f>IF(in_FreeShip=1,0,(O36+O37)*in_ShipCharge)</f>
        <v/>
      </c>
      <c r="P73" s="45">
        <f>IF(in_FreeShip=1,0,(P36+P37)*in_ShipCharge)</f>
        <v/>
      </c>
      <c r="Q73" s="45">
        <f>IF(in_FreeShip=1,0,(Q36+Q37)*in_ShipCharge)</f>
        <v/>
      </c>
      <c r="R73" s="46">
        <f>SUM(C73:Q73)</f>
        <v/>
      </c>
    </row>
    <row r="74">
      <c r="A74" s="26" t="inlineStr">
        <is>
          <t>DTC revenue</t>
        </is>
      </c>
      <c r="C74" s="47">
        <f>SUM(C69:C73)</f>
        <v/>
      </c>
      <c r="D74" s="47">
        <f>SUM(D69:D73)</f>
        <v/>
      </c>
      <c r="E74" s="47">
        <f>SUM(E69:E73)</f>
        <v/>
      </c>
      <c r="F74" s="47">
        <f>SUM(F69:F73)</f>
        <v/>
      </c>
      <c r="G74" s="47">
        <f>SUM(G69:G73)</f>
        <v/>
      </c>
      <c r="H74" s="47">
        <f>SUM(H69:H73)</f>
        <v/>
      </c>
      <c r="I74" s="47">
        <f>SUM(I69:I73)</f>
        <v/>
      </c>
      <c r="J74" s="47">
        <f>SUM(J69:J73)</f>
        <v/>
      </c>
      <c r="K74" s="47">
        <f>SUM(K69:K73)</f>
        <v/>
      </c>
      <c r="L74" s="47">
        <f>SUM(L69:L73)</f>
        <v/>
      </c>
      <c r="M74" s="47">
        <f>SUM(M69:M73)</f>
        <v/>
      </c>
      <c r="N74" s="47">
        <f>SUM(N69:N73)</f>
        <v/>
      </c>
      <c r="O74" s="47">
        <f>SUM(O69:O73)</f>
        <v/>
      </c>
      <c r="P74" s="47">
        <f>SUM(P69:P73)</f>
        <v/>
      </c>
      <c r="Q74" s="47">
        <f>SUM(Q69:Q73)</f>
        <v/>
      </c>
      <c r="R74" s="46">
        <f>SUM(C74:Q74)</f>
        <v/>
      </c>
    </row>
    <row r="75">
      <c r="A75" s="10" t="inlineStr">
        <is>
          <t>Wholesale invoiced (pouches + sticks)</t>
        </is>
      </c>
      <c r="C75" s="45">
        <f>C42*in_WsPouch+C43*in_WsStick</f>
        <v/>
      </c>
      <c r="D75" s="45">
        <f>D42*in_WsPouch+D43*in_WsStick</f>
        <v/>
      </c>
      <c r="E75" s="45">
        <f>E42*in_WsPouch+E43*in_WsStick</f>
        <v/>
      </c>
      <c r="F75" s="45">
        <f>F42*in_WsPouch+F43*in_WsStick</f>
        <v/>
      </c>
      <c r="G75" s="45">
        <f>G42*in_WsPouch+G43*in_WsStick</f>
        <v/>
      </c>
      <c r="H75" s="45">
        <f>H42*in_WsPouch+H43*in_WsStick</f>
        <v/>
      </c>
      <c r="I75" s="45">
        <f>I42*in_WsPouch+I43*in_WsStick</f>
        <v/>
      </c>
      <c r="J75" s="45">
        <f>J42*in_WsPouch+J43*in_WsStick</f>
        <v/>
      </c>
      <c r="K75" s="45">
        <f>K42*in_WsPouch+K43*in_WsStick</f>
        <v/>
      </c>
      <c r="L75" s="45">
        <f>L42*in_WsPouch+L43*in_WsStick</f>
        <v/>
      </c>
      <c r="M75" s="45">
        <f>M42*in_WsPouch+M43*in_WsStick</f>
        <v/>
      </c>
      <c r="N75" s="45">
        <f>N42*in_WsPouch+N43*in_WsStick</f>
        <v/>
      </c>
      <c r="O75" s="45">
        <f>O42*in_WsPouch+O43*in_WsStick</f>
        <v/>
      </c>
      <c r="P75" s="45">
        <f>P42*in_WsPouch+P43*in_WsStick</f>
        <v/>
      </c>
      <c r="Q75" s="45">
        <f>Q42*in_WsPouch+Q43*in_WsStick</f>
        <v/>
      </c>
      <c r="R75" s="46">
        <f>SUM(C75:Q75)</f>
        <v/>
      </c>
    </row>
    <row r="76">
      <c r="A76" s="10" t="inlineStr">
        <is>
          <t>Wholesale cash collected</t>
        </is>
      </c>
      <c r="B76" s="6" t="inlineStr">
        <is>
          <t>Net 30 toggle</t>
        </is>
      </c>
      <c r="C76" s="45">
        <f>IF(in_Net30=1,0,C75)</f>
        <v/>
      </c>
      <c r="D76" s="45">
        <f>IF(in_Net30=1,C75,D75)</f>
        <v/>
      </c>
      <c r="E76" s="45">
        <f>IF(in_Net30=1,D75,E75)</f>
        <v/>
      </c>
      <c r="F76" s="45">
        <f>IF(in_Net30=1,E75,F75)</f>
        <v/>
      </c>
      <c r="G76" s="45">
        <f>IF(in_Net30=1,F75,G75)</f>
        <v/>
      </c>
      <c r="H76" s="45">
        <f>IF(in_Net30=1,G75,H75)</f>
        <v/>
      </c>
      <c r="I76" s="45">
        <f>IF(in_Net30=1,H75,I75)</f>
        <v/>
      </c>
      <c r="J76" s="45">
        <f>IF(in_Net30=1,I75,J75)</f>
        <v/>
      </c>
      <c r="K76" s="45">
        <f>IF(in_Net30=1,J75,K75)</f>
        <v/>
      </c>
      <c r="L76" s="45">
        <f>IF(in_Net30=1,K75,L75)</f>
        <v/>
      </c>
      <c r="M76" s="45">
        <f>IF(in_Net30=1,L75,M75)</f>
        <v/>
      </c>
      <c r="N76" s="45">
        <f>IF(in_Net30=1,M75,N75)</f>
        <v/>
      </c>
      <c r="O76" s="45">
        <f>IF(in_Net30=1,N75,O75)</f>
        <v/>
      </c>
      <c r="P76" s="45">
        <f>IF(in_Net30=1,O75,P75)</f>
        <v/>
      </c>
      <c r="Q76" s="45">
        <f>IF(in_Net30=1,P75,Q75)</f>
        <v/>
      </c>
      <c r="R76" s="46">
        <f>SUM(C76:Q76)</f>
        <v/>
      </c>
    </row>
    <row r="77">
      <c r="A77" s="26" t="inlineStr">
        <is>
          <t>Total cash in</t>
        </is>
      </c>
      <c r="C77" s="47">
        <f>C74+C76</f>
        <v/>
      </c>
      <c r="D77" s="47">
        <f>D74+D76</f>
        <v/>
      </c>
      <c r="E77" s="47">
        <f>E74+E76</f>
        <v/>
      </c>
      <c r="F77" s="47">
        <f>F74+F76</f>
        <v/>
      </c>
      <c r="G77" s="47">
        <f>G74+G76</f>
        <v/>
      </c>
      <c r="H77" s="47">
        <f>H74+H76</f>
        <v/>
      </c>
      <c r="I77" s="47">
        <f>I74+I76</f>
        <v/>
      </c>
      <c r="J77" s="47">
        <f>J74+J76</f>
        <v/>
      </c>
      <c r="K77" s="47">
        <f>K74+K76</f>
        <v/>
      </c>
      <c r="L77" s="47">
        <f>L74+L76</f>
        <v/>
      </c>
      <c r="M77" s="47">
        <f>M74+M76</f>
        <v/>
      </c>
      <c r="N77" s="47">
        <f>N74+N76</f>
        <v/>
      </c>
      <c r="O77" s="47">
        <f>O74+O76</f>
        <v/>
      </c>
      <c r="P77" s="47">
        <f>P74+P76</f>
        <v/>
      </c>
      <c r="Q77" s="47">
        <f>Q74+Q76</f>
        <v/>
      </c>
      <c r="R77" s="46">
        <f>SUM(C77:Q77)</f>
        <v/>
      </c>
    </row>
    <row r="79">
      <c r="A79" s="7" t="inlineStr">
        <is>
          <t>Inventory purchases (cash out)</t>
        </is>
      </c>
      <c r="B79" s="8" t="n"/>
      <c r="C79" s="8" t="n"/>
      <c r="D79" s="8" t="n"/>
      <c r="E79" s="8" t="n"/>
      <c r="F79" s="8" t="n"/>
      <c r="G79" s="8" t="n"/>
      <c r="H79" s="8" t="n"/>
      <c r="I79" s="8" t="n"/>
      <c r="J79" s="8" t="n"/>
      <c r="K79" s="8" t="n"/>
      <c r="L79" s="8" t="n"/>
      <c r="M79" s="8" t="n"/>
      <c r="N79" s="8" t="n"/>
      <c r="O79" s="8" t="n"/>
      <c r="P79" s="8" t="n"/>
      <c r="Q79" s="8" t="n"/>
      <c r="R79" s="8" t="n"/>
    </row>
    <row r="80">
      <c r="A80" s="10" t="inlineStr">
        <is>
          <t>First pouch run (deposit, then balance; less sample credit)</t>
        </is>
      </c>
      <c r="B80" s="6" t="inlineStr">
        <is>
          <t>Mode-dependent</t>
        </is>
      </c>
      <c r="C80" s="45">
        <f>$B$8*$B$6*(IF(EOMONTH(in_PODate,0)=EOMONTH(C$23,0),in_Deposit,0)+IF(EOMONTH(in_BalanceDate,0)=EOMONTH(C$23,0),1-in_Deposit,0))-IF(EOMONTH(in_PODate,0)=EOMONTH(C$23,0),$B$10,0)</f>
        <v/>
      </c>
      <c r="D80" s="45">
        <f>$B$8*$B$6*(IF(EOMONTH(in_PODate,0)=EOMONTH(D$23,0),in_Deposit,0)+IF(EOMONTH(in_BalanceDate,0)=EOMONTH(D$23,0),1-in_Deposit,0))-IF(EOMONTH(in_PODate,0)=EOMONTH(D$23,0),$B$10,0)</f>
        <v/>
      </c>
      <c r="E80" s="45">
        <f>$B$8*$B$6*(IF(EOMONTH(in_PODate,0)=EOMONTH(E$23,0),in_Deposit,0)+IF(EOMONTH(in_BalanceDate,0)=EOMONTH(E$23,0),1-in_Deposit,0))-IF(EOMONTH(in_PODate,0)=EOMONTH(E$23,0),$B$10,0)</f>
        <v/>
      </c>
      <c r="F80" s="45">
        <f>$B$8*$B$6*(IF(EOMONTH(in_PODate,0)=EOMONTH(F$23,0),in_Deposit,0)+IF(EOMONTH(in_BalanceDate,0)=EOMONTH(F$23,0),1-in_Deposit,0))-IF(EOMONTH(in_PODate,0)=EOMONTH(F$23,0),$B$10,0)</f>
        <v/>
      </c>
      <c r="G80" s="45">
        <f>$B$8*$B$6*(IF(EOMONTH(in_PODate,0)=EOMONTH(G$23,0),in_Deposit,0)+IF(EOMONTH(in_BalanceDate,0)=EOMONTH(G$23,0),1-in_Deposit,0))-IF(EOMONTH(in_PODate,0)=EOMONTH(G$23,0),$B$10,0)</f>
        <v/>
      </c>
      <c r="H80" s="45">
        <f>$B$8*$B$6*(IF(EOMONTH(in_PODate,0)=EOMONTH(H$23,0),in_Deposit,0)+IF(EOMONTH(in_BalanceDate,0)=EOMONTH(H$23,0),1-in_Deposit,0))-IF(EOMONTH(in_PODate,0)=EOMONTH(H$23,0),$B$10,0)</f>
        <v/>
      </c>
      <c r="I80" s="45">
        <f>$B$8*$B$6*(IF(EOMONTH(in_PODate,0)=EOMONTH(I$23,0),in_Deposit,0)+IF(EOMONTH(in_BalanceDate,0)=EOMONTH(I$23,0),1-in_Deposit,0))-IF(EOMONTH(in_PODate,0)=EOMONTH(I$23,0),$B$10,0)</f>
        <v/>
      </c>
      <c r="J80" s="45">
        <f>$B$8*$B$6*(IF(EOMONTH(in_PODate,0)=EOMONTH(J$23,0),in_Deposit,0)+IF(EOMONTH(in_BalanceDate,0)=EOMONTH(J$23,0),1-in_Deposit,0))-IF(EOMONTH(in_PODate,0)=EOMONTH(J$23,0),$B$10,0)</f>
        <v/>
      </c>
      <c r="K80" s="45">
        <f>$B$8*$B$6*(IF(EOMONTH(in_PODate,0)=EOMONTH(K$23,0),in_Deposit,0)+IF(EOMONTH(in_BalanceDate,0)=EOMONTH(K$23,0),1-in_Deposit,0))-IF(EOMONTH(in_PODate,0)=EOMONTH(K$23,0),$B$10,0)</f>
        <v/>
      </c>
      <c r="L80" s="45">
        <f>$B$8*$B$6*(IF(EOMONTH(in_PODate,0)=EOMONTH(L$23,0),in_Deposit,0)+IF(EOMONTH(in_BalanceDate,0)=EOMONTH(L$23,0),1-in_Deposit,0))-IF(EOMONTH(in_PODate,0)=EOMONTH(L$23,0),$B$10,0)</f>
        <v/>
      </c>
      <c r="M80" s="45">
        <f>$B$8*$B$6*(IF(EOMONTH(in_PODate,0)=EOMONTH(M$23,0),in_Deposit,0)+IF(EOMONTH(in_BalanceDate,0)=EOMONTH(M$23,0),1-in_Deposit,0))-IF(EOMONTH(in_PODate,0)=EOMONTH(M$23,0),$B$10,0)</f>
        <v/>
      </c>
      <c r="N80" s="45">
        <f>$B$8*$B$6*(IF(EOMONTH(in_PODate,0)=EOMONTH(N$23,0),in_Deposit,0)+IF(EOMONTH(in_BalanceDate,0)=EOMONTH(N$23,0),1-in_Deposit,0))-IF(EOMONTH(in_PODate,0)=EOMONTH(N$23,0),$B$10,0)</f>
        <v/>
      </c>
      <c r="O80" s="45">
        <f>$B$8*$B$6*(IF(EOMONTH(in_PODate,0)=EOMONTH(O$23,0),in_Deposit,0)+IF(EOMONTH(in_BalanceDate,0)=EOMONTH(O$23,0),1-in_Deposit,0))-IF(EOMONTH(in_PODate,0)=EOMONTH(O$23,0),$B$10,0)</f>
        <v/>
      </c>
      <c r="P80" s="45">
        <f>$B$8*$B$6*(IF(EOMONTH(in_PODate,0)=EOMONTH(P$23,0),in_Deposit,0)+IF(EOMONTH(in_BalanceDate,0)=EOMONTH(P$23,0),1-in_Deposit,0))-IF(EOMONTH(in_PODate,0)=EOMONTH(P$23,0),$B$10,0)</f>
        <v/>
      </c>
      <c r="Q80" s="45">
        <f>$B$8*$B$6*(IF(EOMONTH(in_PODate,0)=EOMONTH(Q$23,0),in_Deposit,0)+IF(EOMONTH(in_BalanceDate,0)=EOMONTH(Q$23,0),1-in_Deposit,0))-IF(EOMONTH(in_PODate,0)=EOMONTH(Q$23,0),$B$10,0)</f>
        <v/>
      </c>
      <c r="R80" s="46">
        <f>SUM(C80:Q80)</f>
        <v/>
      </c>
    </row>
    <row r="81">
      <c r="A81" s="10" t="inlineStr">
        <is>
          <t>First protein stick run (deposit, then balance)</t>
        </is>
      </c>
      <c r="C81" s="45">
        <f>$B$9*$B$7*(IF(EOMONTH(in_PODate,0)=EOMONTH(C$23,0),in_Deposit,0)+IF(EOMONTH(in_BalanceDate,0)=EOMONTH(C$23,0),1-in_Deposit,0))</f>
        <v/>
      </c>
      <c r="D81" s="45">
        <f>$B$9*$B$7*(IF(EOMONTH(in_PODate,0)=EOMONTH(D$23,0),in_Deposit,0)+IF(EOMONTH(in_BalanceDate,0)=EOMONTH(D$23,0),1-in_Deposit,0))</f>
        <v/>
      </c>
      <c r="E81" s="45">
        <f>$B$9*$B$7*(IF(EOMONTH(in_PODate,0)=EOMONTH(E$23,0),in_Deposit,0)+IF(EOMONTH(in_BalanceDate,0)=EOMONTH(E$23,0),1-in_Deposit,0))</f>
        <v/>
      </c>
      <c r="F81" s="45">
        <f>$B$9*$B$7*(IF(EOMONTH(in_PODate,0)=EOMONTH(F$23,0),in_Deposit,0)+IF(EOMONTH(in_BalanceDate,0)=EOMONTH(F$23,0),1-in_Deposit,0))</f>
        <v/>
      </c>
      <c r="G81" s="45">
        <f>$B$9*$B$7*(IF(EOMONTH(in_PODate,0)=EOMONTH(G$23,0),in_Deposit,0)+IF(EOMONTH(in_BalanceDate,0)=EOMONTH(G$23,0),1-in_Deposit,0))</f>
        <v/>
      </c>
      <c r="H81" s="45">
        <f>$B$9*$B$7*(IF(EOMONTH(in_PODate,0)=EOMONTH(H$23,0),in_Deposit,0)+IF(EOMONTH(in_BalanceDate,0)=EOMONTH(H$23,0),1-in_Deposit,0))</f>
        <v/>
      </c>
      <c r="I81" s="45">
        <f>$B$9*$B$7*(IF(EOMONTH(in_PODate,0)=EOMONTH(I$23,0),in_Deposit,0)+IF(EOMONTH(in_BalanceDate,0)=EOMONTH(I$23,0),1-in_Deposit,0))</f>
        <v/>
      </c>
      <c r="J81" s="45">
        <f>$B$9*$B$7*(IF(EOMONTH(in_PODate,0)=EOMONTH(J$23,0),in_Deposit,0)+IF(EOMONTH(in_BalanceDate,0)=EOMONTH(J$23,0),1-in_Deposit,0))</f>
        <v/>
      </c>
      <c r="K81" s="45">
        <f>$B$9*$B$7*(IF(EOMONTH(in_PODate,0)=EOMONTH(K$23,0),in_Deposit,0)+IF(EOMONTH(in_BalanceDate,0)=EOMONTH(K$23,0),1-in_Deposit,0))</f>
        <v/>
      </c>
      <c r="L81" s="45">
        <f>$B$9*$B$7*(IF(EOMONTH(in_PODate,0)=EOMONTH(L$23,0),in_Deposit,0)+IF(EOMONTH(in_BalanceDate,0)=EOMONTH(L$23,0),1-in_Deposit,0))</f>
        <v/>
      </c>
      <c r="M81" s="45">
        <f>$B$9*$B$7*(IF(EOMONTH(in_PODate,0)=EOMONTH(M$23,0),in_Deposit,0)+IF(EOMONTH(in_BalanceDate,0)=EOMONTH(M$23,0),1-in_Deposit,0))</f>
        <v/>
      </c>
      <c r="N81" s="45">
        <f>$B$9*$B$7*(IF(EOMONTH(in_PODate,0)=EOMONTH(N$23,0),in_Deposit,0)+IF(EOMONTH(in_BalanceDate,0)=EOMONTH(N$23,0),1-in_Deposit,0))</f>
        <v/>
      </c>
      <c r="O81" s="45">
        <f>$B$9*$B$7*(IF(EOMONTH(in_PODate,0)=EOMONTH(O$23,0),in_Deposit,0)+IF(EOMONTH(in_BalanceDate,0)=EOMONTH(O$23,0),1-in_Deposit,0))</f>
        <v/>
      </c>
      <c r="P81" s="45">
        <f>$B$9*$B$7*(IF(EOMONTH(in_PODate,0)=EOMONTH(P$23,0),in_Deposit,0)+IF(EOMONTH(in_BalanceDate,0)=EOMONTH(P$23,0),1-in_Deposit,0))</f>
        <v/>
      </c>
      <c r="Q81" s="45">
        <f>$B$9*$B$7*(IF(EOMONTH(in_PODate,0)=EOMONTH(Q$23,0),in_Deposit,0)+IF(EOMONTH(in_BalanceDate,0)=EOMONTH(Q$23,0),1-in_Deposit,0))</f>
        <v/>
      </c>
      <c r="R81" s="46">
        <f>SUM(C81:Q81)</f>
        <v/>
      </c>
    </row>
    <row r="82">
      <c r="A82" s="10" t="inlineStr">
        <is>
          <t>Second flavour first run</t>
        </is>
      </c>
      <c r="C82" s="45">
        <f>C49*$B$6</f>
        <v/>
      </c>
      <c r="D82" s="45">
        <f>D49*$B$6</f>
        <v/>
      </c>
      <c r="E82" s="45">
        <f>E49*$B$6</f>
        <v/>
      </c>
      <c r="F82" s="45">
        <f>F49*$B$6</f>
        <v/>
      </c>
      <c r="G82" s="45">
        <f>G49*$B$6</f>
        <v/>
      </c>
      <c r="H82" s="45">
        <f>H49*$B$6</f>
        <v/>
      </c>
      <c r="I82" s="45">
        <f>I49*$B$6</f>
        <v/>
      </c>
      <c r="J82" s="45">
        <f>J49*$B$6</f>
        <v/>
      </c>
      <c r="K82" s="45">
        <f>K49*$B$6</f>
        <v/>
      </c>
      <c r="L82" s="45">
        <f>L49*$B$6</f>
        <v/>
      </c>
      <c r="M82" s="45">
        <f>M49*$B$6</f>
        <v/>
      </c>
      <c r="N82" s="45">
        <f>N49*$B$6</f>
        <v/>
      </c>
      <c r="O82" s="45">
        <f>O49*$B$6</f>
        <v/>
      </c>
      <c r="P82" s="45">
        <f>P49*$B$6</f>
        <v/>
      </c>
      <c r="Q82" s="45">
        <f>Q49*$B$6</f>
        <v/>
      </c>
      <c r="R82" s="46">
        <f>SUM(C82:Q82)</f>
        <v/>
      </c>
    </row>
    <row r="83">
      <c r="A83" s="10" t="inlineStr">
        <is>
          <t>Reorders placed (pouches and sticks, paid in full when placed)</t>
        </is>
      </c>
      <c r="C83" s="45">
        <f>C52*$B$6+C63*$B$7</f>
        <v/>
      </c>
      <c r="D83" s="45">
        <f>D52*$B$6+D63*$B$7</f>
        <v/>
      </c>
      <c r="E83" s="45">
        <f>E52*$B$6+E63*$B$7</f>
        <v/>
      </c>
      <c r="F83" s="45">
        <f>F52*$B$6+F63*$B$7</f>
        <v/>
      </c>
      <c r="G83" s="45">
        <f>G52*$B$6+G63*$B$7</f>
        <v/>
      </c>
      <c r="H83" s="45">
        <f>H52*$B$6+H63*$B$7</f>
        <v/>
      </c>
      <c r="I83" s="45">
        <f>I52*$B$6+I63*$B$7</f>
        <v/>
      </c>
      <c r="J83" s="45">
        <f>J52*$B$6+J63*$B$7</f>
        <v/>
      </c>
      <c r="K83" s="45">
        <f>K52*$B$6+K63*$B$7</f>
        <v/>
      </c>
      <c r="L83" s="45">
        <f>L52*$B$6+L63*$B$7</f>
        <v/>
      </c>
      <c r="M83" s="45">
        <f>M52*$B$6+M63*$B$7</f>
        <v/>
      </c>
      <c r="N83" s="45">
        <f>N52*$B$6+N63*$B$7</f>
        <v/>
      </c>
      <c r="O83" s="45">
        <f>O52*$B$6+O63*$B$7</f>
        <v/>
      </c>
      <c r="P83" s="45">
        <f>P52*$B$6+P63*$B$7</f>
        <v/>
      </c>
      <c r="Q83" s="45">
        <f>Q52*$B$6+Q63*$B$7</f>
        <v/>
      </c>
      <c r="R83" s="46">
        <f>SUM(C83:Q83)</f>
        <v/>
      </c>
    </row>
    <row r="84">
      <c r="A84" s="26" t="inlineStr">
        <is>
          <t>Total inventory purchases</t>
        </is>
      </c>
      <c r="C84" s="47">
        <f>SUM(C80:C83)</f>
        <v/>
      </c>
      <c r="D84" s="47">
        <f>SUM(D80:D83)</f>
        <v/>
      </c>
      <c r="E84" s="47">
        <f>SUM(E80:E83)</f>
        <v/>
      </c>
      <c r="F84" s="47">
        <f>SUM(F80:F83)</f>
        <v/>
      </c>
      <c r="G84" s="47">
        <f>SUM(G80:G83)</f>
        <v/>
      </c>
      <c r="H84" s="47">
        <f>SUM(H80:H83)</f>
        <v/>
      </c>
      <c r="I84" s="47">
        <f>SUM(I80:I83)</f>
        <v/>
      </c>
      <c r="J84" s="47">
        <f>SUM(J80:J83)</f>
        <v/>
      </c>
      <c r="K84" s="47">
        <f>SUM(K80:K83)</f>
        <v/>
      </c>
      <c r="L84" s="47">
        <f>SUM(L80:L83)</f>
        <v/>
      </c>
      <c r="M84" s="47">
        <f>SUM(M80:M83)</f>
        <v/>
      </c>
      <c r="N84" s="47">
        <f>SUM(N80:N83)</f>
        <v/>
      </c>
      <c r="O84" s="47">
        <f>SUM(O80:O83)</f>
        <v/>
      </c>
      <c r="P84" s="47">
        <f>SUM(P80:P83)</f>
        <v/>
      </c>
      <c r="Q84" s="47">
        <f>SUM(Q80:Q83)</f>
        <v/>
      </c>
      <c r="R84" s="46">
        <f>SUM(C84:Q84)</f>
        <v/>
      </c>
    </row>
    <row r="86">
      <c r="A86" s="7" t="inlineStr">
        <is>
          <t>Variable costs (cash out)</t>
        </is>
      </c>
      <c r="B86" s="8" t="n"/>
      <c r="C86" s="8" t="n"/>
      <c r="D86" s="8" t="n"/>
      <c r="E86" s="8" t="n"/>
      <c r="F86" s="8" t="n"/>
      <c r="G86" s="8" t="n"/>
      <c r="H86" s="8" t="n"/>
      <c r="I86" s="8" t="n"/>
      <c r="J86" s="8" t="n"/>
      <c r="K86" s="8" t="n"/>
      <c r="L86" s="8" t="n"/>
      <c r="M86" s="8" t="n"/>
      <c r="N86" s="8" t="n"/>
      <c r="O86" s="8" t="n"/>
      <c r="P86" s="8" t="n"/>
      <c r="Q86" s="8" t="n"/>
      <c r="R86" s="8" t="n"/>
    </row>
    <row r="87">
      <c r="A87" s="10" t="inlineStr">
        <is>
          <t>DTC shipping and packing</t>
        </is>
      </c>
      <c r="C87" s="45">
        <f>(C36+C37)*in_ShipOrder</f>
        <v/>
      </c>
      <c r="D87" s="45">
        <f>(D36+D37)*in_ShipOrder</f>
        <v/>
      </c>
      <c r="E87" s="45">
        <f>(E36+E37)*in_ShipOrder</f>
        <v/>
      </c>
      <c r="F87" s="45">
        <f>(F36+F37)*in_ShipOrder</f>
        <v/>
      </c>
      <c r="G87" s="45">
        <f>(G36+G37)*in_ShipOrder</f>
        <v/>
      </c>
      <c r="H87" s="45">
        <f>(H36+H37)*in_ShipOrder</f>
        <v/>
      </c>
      <c r="I87" s="45">
        <f>(I36+I37)*in_ShipOrder</f>
        <v/>
      </c>
      <c r="J87" s="45">
        <f>(J36+J37)*in_ShipOrder</f>
        <v/>
      </c>
      <c r="K87" s="45">
        <f>(K36+K37)*in_ShipOrder</f>
        <v/>
      </c>
      <c r="L87" s="45">
        <f>(L36+L37)*in_ShipOrder</f>
        <v/>
      </c>
      <c r="M87" s="45">
        <f>(M36+M37)*in_ShipOrder</f>
        <v/>
      </c>
      <c r="N87" s="45">
        <f>(N36+N37)*in_ShipOrder</f>
        <v/>
      </c>
      <c r="O87" s="45">
        <f>(O36+O37)*in_ShipOrder</f>
        <v/>
      </c>
      <c r="P87" s="45">
        <f>(P36+P37)*in_ShipOrder</f>
        <v/>
      </c>
      <c r="Q87" s="45">
        <f>(Q36+Q37)*in_ShipOrder</f>
        <v/>
      </c>
      <c r="R87" s="46">
        <f>SUM(C87:Q87)</f>
        <v/>
      </c>
    </row>
    <row r="88">
      <c r="A88" s="10" t="inlineStr">
        <is>
          <t>Freight to stores</t>
        </is>
      </c>
      <c r="C88" s="45">
        <f>C42*in_FreightPouch+C43*in_FreightStick</f>
        <v/>
      </c>
      <c r="D88" s="45">
        <f>D42*in_FreightPouch+D43*in_FreightStick</f>
        <v/>
      </c>
      <c r="E88" s="45">
        <f>E42*in_FreightPouch+E43*in_FreightStick</f>
        <v/>
      </c>
      <c r="F88" s="45">
        <f>F42*in_FreightPouch+F43*in_FreightStick</f>
        <v/>
      </c>
      <c r="G88" s="45">
        <f>G42*in_FreightPouch+G43*in_FreightStick</f>
        <v/>
      </c>
      <c r="H88" s="45">
        <f>H42*in_FreightPouch+H43*in_FreightStick</f>
        <v/>
      </c>
      <c r="I88" s="45">
        <f>I42*in_FreightPouch+I43*in_FreightStick</f>
        <v/>
      </c>
      <c r="J88" s="45">
        <f>J42*in_FreightPouch+J43*in_FreightStick</f>
        <v/>
      </c>
      <c r="K88" s="45">
        <f>K42*in_FreightPouch+K43*in_FreightStick</f>
        <v/>
      </c>
      <c r="L88" s="45">
        <f>L42*in_FreightPouch+L43*in_FreightStick</f>
        <v/>
      </c>
      <c r="M88" s="45">
        <f>M42*in_FreightPouch+M43*in_FreightStick</f>
        <v/>
      </c>
      <c r="N88" s="45">
        <f>N42*in_FreightPouch+N43*in_FreightStick</f>
        <v/>
      </c>
      <c r="O88" s="45">
        <f>O42*in_FreightPouch+O43*in_FreightStick</f>
        <v/>
      </c>
      <c r="P88" s="45">
        <f>P42*in_FreightPouch+P43*in_FreightStick</f>
        <v/>
      </c>
      <c r="Q88" s="45">
        <f>Q42*in_FreightPouch+Q43*in_FreightStick</f>
        <v/>
      </c>
      <c r="R88" s="46">
        <f>SUM(C88:Q88)</f>
        <v/>
      </c>
    </row>
    <row r="89">
      <c r="A89" s="10" t="inlineStr">
        <is>
          <t>Card fees</t>
        </is>
      </c>
      <c r="C89" s="45">
        <f>C74*in_CardPct+(C36+C37)*in_CardFixed</f>
        <v/>
      </c>
      <c r="D89" s="45">
        <f>D74*in_CardPct+(D36+D37)*in_CardFixed</f>
        <v/>
      </c>
      <c r="E89" s="45">
        <f>E74*in_CardPct+(E36+E37)*in_CardFixed</f>
        <v/>
      </c>
      <c r="F89" s="45">
        <f>F74*in_CardPct+(F36+F37)*in_CardFixed</f>
        <v/>
      </c>
      <c r="G89" s="45">
        <f>G74*in_CardPct+(G36+G37)*in_CardFixed</f>
        <v/>
      </c>
      <c r="H89" s="45">
        <f>H74*in_CardPct+(H36+H37)*in_CardFixed</f>
        <v/>
      </c>
      <c r="I89" s="45">
        <f>I74*in_CardPct+(I36+I37)*in_CardFixed</f>
        <v/>
      </c>
      <c r="J89" s="45">
        <f>J74*in_CardPct+(J36+J37)*in_CardFixed</f>
        <v/>
      </c>
      <c r="K89" s="45">
        <f>K74*in_CardPct+(K36+K37)*in_CardFixed</f>
        <v/>
      </c>
      <c r="L89" s="45">
        <f>L74*in_CardPct+(L36+L37)*in_CardFixed</f>
        <v/>
      </c>
      <c r="M89" s="45">
        <f>M74*in_CardPct+(M36+M37)*in_CardFixed</f>
        <v/>
      </c>
      <c r="N89" s="45">
        <f>N74*in_CardPct+(N36+N37)*in_CardFixed</f>
        <v/>
      </c>
      <c r="O89" s="45">
        <f>O74*in_CardPct+(O36+O37)*in_CardFixed</f>
        <v/>
      </c>
      <c r="P89" s="45">
        <f>P74*in_CardPct+(P36+P37)*in_CardFixed</f>
        <v/>
      </c>
      <c r="Q89" s="45">
        <f>Q74*in_CardPct+(Q36+Q37)*in_CardFixed</f>
        <v/>
      </c>
      <c r="R89" s="46">
        <f>SUM(C89:Q89)</f>
        <v/>
      </c>
    </row>
    <row r="90">
      <c r="A90" s="10" t="inlineStr">
        <is>
          <t>Founding offer free shakers</t>
        </is>
      </c>
      <c r="C90" s="45">
        <f>C27*in_ShakerCost</f>
        <v/>
      </c>
      <c r="D90" s="45">
        <f>D27*in_ShakerCost</f>
        <v/>
      </c>
      <c r="E90" s="45">
        <f>E27*in_ShakerCost</f>
        <v/>
      </c>
      <c r="F90" s="45">
        <f>F27*in_ShakerCost</f>
        <v/>
      </c>
      <c r="G90" s="45">
        <f>G27*in_ShakerCost</f>
        <v/>
      </c>
      <c r="H90" s="45">
        <f>H27*in_ShakerCost</f>
        <v/>
      </c>
      <c r="I90" s="45">
        <f>I27*in_ShakerCost</f>
        <v/>
      </c>
      <c r="J90" s="45">
        <f>J27*in_ShakerCost</f>
        <v/>
      </c>
      <c r="K90" s="45">
        <f>K27*in_ShakerCost</f>
        <v/>
      </c>
      <c r="L90" s="45">
        <f>L27*in_ShakerCost</f>
        <v/>
      </c>
      <c r="M90" s="45">
        <f>M27*in_ShakerCost</f>
        <v/>
      </c>
      <c r="N90" s="45">
        <f>N27*in_ShakerCost</f>
        <v/>
      </c>
      <c r="O90" s="45">
        <f>O27*in_ShakerCost</f>
        <v/>
      </c>
      <c r="P90" s="45">
        <f>P27*in_ShakerCost</f>
        <v/>
      </c>
      <c r="Q90" s="45">
        <f>Q27*in_ShakerCost</f>
        <v/>
      </c>
      <c r="R90" s="46">
        <f>SUM(C90:Q90)</f>
        <v/>
      </c>
    </row>
    <row r="91">
      <c r="A91" s="26" t="inlineStr">
        <is>
          <t>Total variable costs</t>
        </is>
      </c>
      <c r="C91" s="47">
        <f>SUM(C87:C90)</f>
        <v/>
      </c>
      <c r="D91" s="47">
        <f>SUM(D87:D90)</f>
        <v/>
      </c>
      <c r="E91" s="47">
        <f>SUM(E87:E90)</f>
        <v/>
      </c>
      <c r="F91" s="47">
        <f>SUM(F87:F90)</f>
        <v/>
      </c>
      <c r="G91" s="47">
        <f>SUM(G87:G90)</f>
        <v/>
      </c>
      <c r="H91" s="47">
        <f>SUM(H87:H90)</f>
        <v/>
      </c>
      <c r="I91" s="47">
        <f>SUM(I87:I90)</f>
        <v/>
      </c>
      <c r="J91" s="47">
        <f>SUM(J87:J90)</f>
        <v/>
      </c>
      <c r="K91" s="47">
        <f>SUM(K87:K90)</f>
        <v/>
      </c>
      <c r="L91" s="47">
        <f>SUM(L87:L90)</f>
        <v/>
      </c>
      <c r="M91" s="47">
        <f>SUM(M87:M90)</f>
        <v/>
      </c>
      <c r="N91" s="47">
        <f>SUM(N87:N90)</f>
        <v/>
      </c>
      <c r="O91" s="47">
        <f>SUM(O87:O90)</f>
        <v/>
      </c>
      <c r="P91" s="47">
        <f>SUM(P87:P90)</f>
        <v/>
      </c>
      <c r="Q91" s="47">
        <f>SUM(Q87:Q90)</f>
        <v/>
      </c>
      <c r="R91" s="46">
        <f>SUM(C91:Q91)</f>
        <v/>
      </c>
    </row>
    <row r="93">
      <c r="A93" s="7" t="inlineStr">
        <is>
          <t>Marketing (cash out)</t>
        </is>
      </c>
      <c r="B93" s="8" t="n"/>
      <c r="C93" s="8" t="n"/>
      <c r="D93" s="8" t="n"/>
      <c r="E93" s="8" t="n"/>
      <c r="F93" s="8" t="n"/>
      <c r="G93" s="8" t="n"/>
      <c r="H93" s="8" t="n"/>
      <c r="I93" s="8" t="n"/>
      <c r="J93" s="8" t="n"/>
      <c r="K93" s="8" t="n"/>
      <c r="L93" s="8" t="n"/>
      <c r="M93" s="8" t="n"/>
      <c r="N93" s="8" t="n"/>
      <c r="O93" s="8" t="n"/>
      <c r="P93" s="8" t="n"/>
      <c r="Q93" s="8" t="n"/>
      <c r="R93" s="8" t="n"/>
    </row>
    <row r="94">
      <c r="A94" s="10" t="inlineStr">
        <is>
          <t>Paid acquisition (paid new customers x CAC)</t>
        </is>
      </c>
      <c r="C94" s="45">
        <f>C29*in_CAC</f>
        <v/>
      </c>
      <c r="D94" s="45">
        <f>D29*in_CAC</f>
        <v/>
      </c>
      <c r="E94" s="45">
        <f>E29*in_CAC</f>
        <v/>
      </c>
      <c r="F94" s="45">
        <f>F29*in_CAC</f>
        <v/>
      </c>
      <c r="G94" s="45">
        <f>G29*in_CAC</f>
        <v/>
      </c>
      <c r="H94" s="45">
        <f>H29*in_CAC</f>
        <v/>
      </c>
      <c r="I94" s="45">
        <f>I29*in_CAC</f>
        <v/>
      </c>
      <c r="J94" s="45">
        <f>J29*in_CAC</f>
        <v/>
      </c>
      <c r="K94" s="45">
        <f>K29*in_CAC</f>
        <v/>
      </c>
      <c r="L94" s="45">
        <f>L29*in_CAC</f>
        <v/>
      </c>
      <c r="M94" s="45">
        <f>M29*in_CAC</f>
        <v/>
      </c>
      <c r="N94" s="45">
        <f>N29*in_CAC</f>
        <v/>
      </c>
      <c r="O94" s="45">
        <f>O29*in_CAC</f>
        <v/>
      </c>
      <c r="P94" s="45">
        <f>P29*in_CAC</f>
        <v/>
      </c>
      <c r="Q94" s="45">
        <f>Q29*in_CAC</f>
        <v/>
      </c>
      <c r="R94" s="46">
        <f>SUM(C94:Q94)</f>
        <v/>
      </c>
    </row>
    <row r="95">
      <c r="A95" s="10" t="inlineStr">
        <is>
          <t>Sampling and content</t>
        </is>
      </c>
      <c r="C95" s="45">
        <f>IF(C$23&gt;=DATE(YEAR(in_SampleStart),MONTH(in_SampleStart),1),in_SampleBudget,0)</f>
        <v/>
      </c>
      <c r="D95" s="45">
        <f>IF(D$23&gt;=DATE(YEAR(in_SampleStart),MONTH(in_SampleStart),1),in_SampleBudget,0)</f>
        <v/>
      </c>
      <c r="E95" s="45">
        <f>IF(E$23&gt;=DATE(YEAR(in_SampleStart),MONTH(in_SampleStart),1),in_SampleBudget,0)</f>
        <v/>
      </c>
      <c r="F95" s="45">
        <f>IF(F$23&gt;=DATE(YEAR(in_SampleStart),MONTH(in_SampleStart),1),in_SampleBudget,0)</f>
        <v/>
      </c>
      <c r="G95" s="45">
        <f>IF(G$23&gt;=DATE(YEAR(in_SampleStart),MONTH(in_SampleStart),1),in_SampleBudget,0)</f>
        <v/>
      </c>
      <c r="H95" s="45">
        <f>IF(H$23&gt;=DATE(YEAR(in_SampleStart),MONTH(in_SampleStart),1),in_SampleBudget,0)</f>
        <v/>
      </c>
      <c r="I95" s="45">
        <f>IF(I$23&gt;=DATE(YEAR(in_SampleStart),MONTH(in_SampleStart),1),in_SampleBudget,0)</f>
        <v/>
      </c>
      <c r="J95" s="45">
        <f>IF(J$23&gt;=DATE(YEAR(in_SampleStart),MONTH(in_SampleStart),1),in_SampleBudget,0)</f>
        <v/>
      </c>
      <c r="K95" s="45">
        <f>IF(K$23&gt;=DATE(YEAR(in_SampleStart),MONTH(in_SampleStart),1),in_SampleBudget,0)</f>
        <v/>
      </c>
      <c r="L95" s="45">
        <f>IF(L$23&gt;=DATE(YEAR(in_SampleStart),MONTH(in_SampleStart),1),in_SampleBudget,0)</f>
        <v/>
      </c>
      <c r="M95" s="45">
        <f>IF(M$23&gt;=DATE(YEAR(in_SampleStart),MONTH(in_SampleStart),1),in_SampleBudget,0)</f>
        <v/>
      </c>
      <c r="N95" s="45">
        <f>IF(N$23&gt;=DATE(YEAR(in_SampleStart),MONTH(in_SampleStart),1),in_SampleBudget,0)</f>
        <v/>
      </c>
      <c r="O95" s="45">
        <f>IF(O$23&gt;=DATE(YEAR(in_SampleStart),MONTH(in_SampleStart),1),in_SampleBudget,0)</f>
        <v/>
      </c>
      <c r="P95" s="45">
        <f>IF(P$23&gt;=DATE(YEAR(in_SampleStart),MONTH(in_SampleStart),1),in_SampleBudget,0)</f>
        <v/>
      </c>
      <c r="Q95" s="45">
        <f>IF(Q$23&gt;=DATE(YEAR(in_SampleStart),MONTH(in_SampleStart),1),in_SampleBudget,0)</f>
        <v/>
      </c>
      <c r="R95" s="46">
        <f>SUM(C95:Q95)</f>
        <v/>
      </c>
    </row>
    <row r="96">
      <c r="A96" s="26" t="inlineStr">
        <is>
          <t>Total marketing</t>
        </is>
      </c>
      <c r="C96" s="47">
        <f>C94+C95</f>
        <v/>
      </c>
      <c r="D96" s="47">
        <f>D94+D95</f>
        <v/>
      </c>
      <c r="E96" s="47">
        <f>E94+E95</f>
        <v/>
      </c>
      <c r="F96" s="47">
        <f>F94+F95</f>
        <v/>
      </c>
      <c r="G96" s="47">
        <f>G94+G95</f>
        <v/>
      </c>
      <c r="H96" s="47">
        <f>H94+H95</f>
        <v/>
      </c>
      <c r="I96" s="47">
        <f>I94+I95</f>
        <v/>
      </c>
      <c r="J96" s="47">
        <f>J94+J95</f>
        <v/>
      </c>
      <c r="K96" s="47">
        <f>K94+K95</f>
        <v/>
      </c>
      <c r="L96" s="47">
        <f>L94+L95</f>
        <v/>
      </c>
      <c r="M96" s="47">
        <f>M94+M95</f>
        <v/>
      </c>
      <c r="N96" s="47">
        <f>N94+N95</f>
        <v/>
      </c>
      <c r="O96" s="47">
        <f>O94+O95</f>
        <v/>
      </c>
      <c r="P96" s="47">
        <f>P94+P95</f>
        <v/>
      </c>
      <c r="Q96" s="47">
        <f>Q94+Q95</f>
        <v/>
      </c>
      <c r="R96" s="46">
        <f>SUM(C96:Q96)</f>
        <v/>
      </c>
    </row>
    <row r="98">
      <c r="A98" s="7" t="inlineStr">
        <is>
          <t>Fixed costs (cash out)</t>
        </is>
      </c>
      <c r="B98" s="8" t="n"/>
      <c r="C98" s="8" t="n"/>
      <c r="D98" s="8" t="n"/>
      <c r="E98" s="8" t="n"/>
      <c r="F98" s="8" t="n"/>
      <c r="G98" s="8" t="n"/>
      <c r="H98" s="8" t="n"/>
      <c r="I98" s="8" t="n"/>
      <c r="J98" s="8" t="n"/>
      <c r="K98" s="8" t="n"/>
      <c r="L98" s="8" t="n"/>
      <c r="M98" s="8" t="n"/>
      <c r="N98" s="8" t="n"/>
      <c r="O98" s="8" t="n"/>
      <c r="P98" s="8" t="n"/>
      <c r="Q98" s="8" t="n"/>
      <c r="R98" s="8" t="n"/>
    </row>
    <row r="99">
      <c r="A99" s="10" t="inlineStr">
        <is>
          <t>Shopify Basic</t>
        </is>
      </c>
      <c r="C99" s="45">
        <f>IF(C$23&gt;=DATE(YEAR(in_FxShopify_Start),MONTH(in_FxShopify_Start),1),in_FxShopify,0)</f>
        <v/>
      </c>
      <c r="D99" s="45">
        <f>IF(D$23&gt;=DATE(YEAR(in_FxShopify_Start),MONTH(in_FxShopify_Start),1),in_FxShopify,0)</f>
        <v/>
      </c>
      <c r="E99" s="45">
        <f>IF(E$23&gt;=DATE(YEAR(in_FxShopify_Start),MONTH(in_FxShopify_Start),1),in_FxShopify,0)</f>
        <v/>
      </c>
      <c r="F99" s="45">
        <f>IF(F$23&gt;=DATE(YEAR(in_FxShopify_Start),MONTH(in_FxShopify_Start),1),in_FxShopify,0)</f>
        <v/>
      </c>
      <c r="G99" s="45">
        <f>IF(G$23&gt;=DATE(YEAR(in_FxShopify_Start),MONTH(in_FxShopify_Start),1),in_FxShopify,0)</f>
        <v/>
      </c>
      <c r="H99" s="45">
        <f>IF(H$23&gt;=DATE(YEAR(in_FxShopify_Start),MONTH(in_FxShopify_Start),1),in_FxShopify,0)</f>
        <v/>
      </c>
      <c r="I99" s="45">
        <f>IF(I$23&gt;=DATE(YEAR(in_FxShopify_Start),MONTH(in_FxShopify_Start),1),in_FxShopify,0)</f>
        <v/>
      </c>
      <c r="J99" s="45">
        <f>IF(J$23&gt;=DATE(YEAR(in_FxShopify_Start),MONTH(in_FxShopify_Start),1),in_FxShopify,0)</f>
        <v/>
      </c>
      <c r="K99" s="45">
        <f>IF(K$23&gt;=DATE(YEAR(in_FxShopify_Start),MONTH(in_FxShopify_Start),1),in_FxShopify,0)</f>
        <v/>
      </c>
      <c r="L99" s="45">
        <f>IF(L$23&gt;=DATE(YEAR(in_FxShopify_Start),MONTH(in_FxShopify_Start),1),in_FxShopify,0)</f>
        <v/>
      </c>
      <c r="M99" s="45">
        <f>IF(M$23&gt;=DATE(YEAR(in_FxShopify_Start),MONTH(in_FxShopify_Start),1),in_FxShopify,0)</f>
        <v/>
      </c>
      <c r="N99" s="45">
        <f>IF(N$23&gt;=DATE(YEAR(in_FxShopify_Start),MONTH(in_FxShopify_Start),1),in_FxShopify,0)</f>
        <v/>
      </c>
      <c r="O99" s="45">
        <f>IF(O$23&gt;=DATE(YEAR(in_FxShopify_Start),MONTH(in_FxShopify_Start),1),in_FxShopify,0)</f>
        <v/>
      </c>
      <c r="P99" s="45">
        <f>IF(P$23&gt;=DATE(YEAR(in_FxShopify_Start),MONTH(in_FxShopify_Start),1),in_FxShopify,0)</f>
        <v/>
      </c>
      <c r="Q99" s="45">
        <f>IF(Q$23&gt;=DATE(YEAR(in_FxShopify_Start),MONTH(in_FxShopify_Start),1),in_FxShopify,0)</f>
        <v/>
      </c>
      <c r="R99" s="46">
        <f>SUM(C99:Q99)</f>
        <v/>
      </c>
    </row>
    <row r="100">
      <c r="A100" s="10" t="inlineStr">
        <is>
          <t>Klaviyo email</t>
        </is>
      </c>
      <c r="C100" s="45">
        <f>IF(C$23&gt;=DATE(YEAR(in_FxKlaviyo_Start),MONTH(in_FxKlaviyo_Start),1),in_FxKlaviyo,0)</f>
        <v/>
      </c>
      <c r="D100" s="45">
        <f>IF(D$23&gt;=DATE(YEAR(in_FxKlaviyo_Start),MONTH(in_FxKlaviyo_Start),1),in_FxKlaviyo,0)</f>
        <v/>
      </c>
      <c r="E100" s="45">
        <f>IF(E$23&gt;=DATE(YEAR(in_FxKlaviyo_Start),MONTH(in_FxKlaviyo_Start),1),in_FxKlaviyo,0)</f>
        <v/>
      </c>
      <c r="F100" s="45">
        <f>IF(F$23&gt;=DATE(YEAR(in_FxKlaviyo_Start),MONTH(in_FxKlaviyo_Start),1),in_FxKlaviyo,0)</f>
        <v/>
      </c>
      <c r="G100" s="45">
        <f>IF(G$23&gt;=DATE(YEAR(in_FxKlaviyo_Start),MONTH(in_FxKlaviyo_Start),1),in_FxKlaviyo,0)</f>
        <v/>
      </c>
      <c r="H100" s="45">
        <f>IF(H$23&gt;=DATE(YEAR(in_FxKlaviyo_Start),MONTH(in_FxKlaviyo_Start),1),in_FxKlaviyo,0)</f>
        <v/>
      </c>
      <c r="I100" s="45">
        <f>IF(I$23&gt;=DATE(YEAR(in_FxKlaviyo_Start),MONTH(in_FxKlaviyo_Start),1),in_FxKlaviyo,0)</f>
        <v/>
      </c>
      <c r="J100" s="45">
        <f>IF(J$23&gt;=DATE(YEAR(in_FxKlaviyo_Start),MONTH(in_FxKlaviyo_Start),1),in_FxKlaviyo,0)</f>
        <v/>
      </c>
      <c r="K100" s="45">
        <f>IF(K$23&gt;=DATE(YEAR(in_FxKlaviyo_Start),MONTH(in_FxKlaviyo_Start),1),in_FxKlaviyo,0)</f>
        <v/>
      </c>
      <c r="L100" s="45">
        <f>IF(L$23&gt;=DATE(YEAR(in_FxKlaviyo_Start),MONTH(in_FxKlaviyo_Start),1),in_FxKlaviyo,0)</f>
        <v/>
      </c>
      <c r="M100" s="45">
        <f>IF(M$23&gt;=DATE(YEAR(in_FxKlaviyo_Start),MONTH(in_FxKlaviyo_Start),1),in_FxKlaviyo,0)</f>
        <v/>
      </c>
      <c r="N100" s="45">
        <f>IF(N$23&gt;=DATE(YEAR(in_FxKlaviyo_Start),MONTH(in_FxKlaviyo_Start),1),in_FxKlaviyo,0)</f>
        <v/>
      </c>
      <c r="O100" s="45">
        <f>IF(O$23&gt;=DATE(YEAR(in_FxKlaviyo_Start),MONTH(in_FxKlaviyo_Start),1),in_FxKlaviyo,0)</f>
        <v/>
      </c>
      <c r="P100" s="45">
        <f>IF(P$23&gt;=DATE(YEAR(in_FxKlaviyo_Start),MONTH(in_FxKlaviyo_Start),1),in_FxKlaviyo,0)</f>
        <v/>
      </c>
      <c r="Q100" s="45">
        <f>IF(Q$23&gt;=DATE(YEAR(in_FxKlaviyo_Start),MONTH(in_FxKlaviyo_Start),1),in_FxKlaviyo,0)</f>
        <v/>
      </c>
      <c r="R100" s="46">
        <f>SUM(C100:Q100)</f>
        <v/>
      </c>
    </row>
    <row r="101">
      <c r="A101" s="10" t="inlineStr">
        <is>
          <t>Product liability insurance</t>
        </is>
      </c>
      <c r="C101" s="45">
        <f>IF(C$23&gt;=DATE(YEAR(in_FxInsurance_Start),MONTH(in_FxInsurance_Start),1),in_FxInsurance,0)</f>
        <v/>
      </c>
      <c r="D101" s="45">
        <f>IF(D$23&gt;=DATE(YEAR(in_FxInsurance_Start),MONTH(in_FxInsurance_Start),1),in_FxInsurance,0)</f>
        <v/>
      </c>
      <c r="E101" s="45">
        <f>IF(E$23&gt;=DATE(YEAR(in_FxInsurance_Start),MONTH(in_FxInsurance_Start),1),in_FxInsurance,0)</f>
        <v/>
      </c>
      <c r="F101" s="45">
        <f>IF(F$23&gt;=DATE(YEAR(in_FxInsurance_Start),MONTH(in_FxInsurance_Start),1),in_FxInsurance,0)</f>
        <v/>
      </c>
      <c r="G101" s="45">
        <f>IF(G$23&gt;=DATE(YEAR(in_FxInsurance_Start),MONTH(in_FxInsurance_Start),1),in_FxInsurance,0)</f>
        <v/>
      </c>
      <c r="H101" s="45">
        <f>IF(H$23&gt;=DATE(YEAR(in_FxInsurance_Start),MONTH(in_FxInsurance_Start),1),in_FxInsurance,0)</f>
        <v/>
      </c>
      <c r="I101" s="45">
        <f>IF(I$23&gt;=DATE(YEAR(in_FxInsurance_Start),MONTH(in_FxInsurance_Start),1),in_FxInsurance,0)</f>
        <v/>
      </c>
      <c r="J101" s="45">
        <f>IF(J$23&gt;=DATE(YEAR(in_FxInsurance_Start),MONTH(in_FxInsurance_Start),1),in_FxInsurance,0)</f>
        <v/>
      </c>
      <c r="K101" s="45">
        <f>IF(K$23&gt;=DATE(YEAR(in_FxInsurance_Start),MONTH(in_FxInsurance_Start),1),in_FxInsurance,0)</f>
        <v/>
      </c>
      <c r="L101" s="45">
        <f>IF(L$23&gt;=DATE(YEAR(in_FxInsurance_Start),MONTH(in_FxInsurance_Start),1),in_FxInsurance,0)</f>
        <v/>
      </c>
      <c r="M101" s="45">
        <f>IF(M$23&gt;=DATE(YEAR(in_FxInsurance_Start),MONTH(in_FxInsurance_Start),1),in_FxInsurance,0)</f>
        <v/>
      </c>
      <c r="N101" s="45">
        <f>IF(N$23&gt;=DATE(YEAR(in_FxInsurance_Start),MONTH(in_FxInsurance_Start),1),in_FxInsurance,0)</f>
        <v/>
      </c>
      <c r="O101" s="45">
        <f>IF(O$23&gt;=DATE(YEAR(in_FxInsurance_Start),MONTH(in_FxInsurance_Start),1),in_FxInsurance,0)</f>
        <v/>
      </c>
      <c r="P101" s="45">
        <f>IF(P$23&gt;=DATE(YEAR(in_FxInsurance_Start),MONTH(in_FxInsurance_Start),1),in_FxInsurance,0)</f>
        <v/>
      </c>
      <c r="Q101" s="45">
        <f>IF(Q$23&gt;=DATE(YEAR(in_FxInsurance_Start),MONTH(in_FxInsurance_Start),1),in_FxInsurance,0)</f>
        <v/>
      </c>
      <c r="R101" s="46">
        <f>SUM(C101:Q101)</f>
        <v/>
      </c>
    </row>
    <row r="102">
      <c r="A102" s="10" t="inlineStr">
        <is>
          <t>Other software (SMS credits, apps)</t>
        </is>
      </c>
      <c r="C102" s="45">
        <f>IF(C$23&gt;=DATE(YEAR(in_FxSoftware_Start),MONTH(in_FxSoftware_Start),1),in_FxSoftware,0)</f>
        <v/>
      </c>
      <c r="D102" s="45">
        <f>IF(D$23&gt;=DATE(YEAR(in_FxSoftware_Start),MONTH(in_FxSoftware_Start),1),in_FxSoftware,0)</f>
        <v/>
      </c>
      <c r="E102" s="45">
        <f>IF(E$23&gt;=DATE(YEAR(in_FxSoftware_Start),MONTH(in_FxSoftware_Start),1),in_FxSoftware,0)</f>
        <v/>
      </c>
      <c r="F102" s="45">
        <f>IF(F$23&gt;=DATE(YEAR(in_FxSoftware_Start),MONTH(in_FxSoftware_Start),1),in_FxSoftware,0)</f>
        <v/>
      </c>
      <c r="G102" s="45">
        <f>IF(G$23&gt;=DATE(YEAR(in_FxSoftware_Start),MONTH(in_FxSoftware_Start),1),in_FxSoftware,0)</f>
        <v/>
      </c>
      <c r="H102" s="45">
        <f>IF(H$23&gt;=DATE(YEAR(in_FxSoftware_Start),MONTH(in_FxSoftware_Start),1),in_FxSoftware,0)</f>
        <v/>
      </c>
      <c r="I102" s="45">
        <f>IF(I$23&gt;=DATE(YEAR(in_FxSoftware_Start),MONTH(in_FxSoftware_Start),1),in_FxSoftware,0)</f>
        <v/>
      </c>
      <c r="J102" s="45">
        <f>IF(J$23&gt;=DATE(YEAR(in_FxSoftware_Start),MONTH(in_FxSoftware_Start),1),in_FxSoftware,0)</f>
        <v/>
      </c>
      <c r="K102" s="45">
        <f>IF(K$23&gt;=DATE(YEAR(in_FxSoftware_Start),MONTH(in_FxSoftware_Start),1),in_FxSoftware,0)</f>
        <v/>
      </c>
      <c r="L102" s="45">
        <f>IF(L$23&gt;=DATE(YEAR(in_FxSoftware_Start),MONTH(in_FxSoftware_Start),1),in_FxSoftware,0)</f>
        <v/>
      </c>
      <c r="M102" s="45">
        <f>IF(M$23&gt;=DATE(YEAR(in_FxSoftware_Start),MONTH(in_FxSoftware_Start),1),in_FxSoftware,0)</f>
        <v/>
      </c>
      <c r="N102" s="45">
        <f>IF(N$23&gt;=DATE(YEAR(in_FxSoftware_Start),MONTH(in_FxSoftware_Start),1),in_FxSoftware,0)</f>
        <v/>
      </c>
      <c r="O102" s="45">
        <f>IF(O$23&gt;=DATE(YEAR(in_FxSoftware_Start),MONTH(in_FxSoftware_Start),1),in_FxSoftware,0)</f>
        <v/>
      </c>
      <c r="P102" s="45">
        <f>IF(P$23&gt;=DATE(YEAR(in_FxSoftware_Start),MONTH(in_FxSoftware_Start),1),in_FxSoftware,0)</f>
        <v/>
      </c>
      <c r="Q102" s="45">
        <f>IF(Q$23&gt;=DATE(YEAR(in_FxSoftware_Start),MONTH(in_FxSoftware_Start),1),in_FxSoftware,0)</f>
        <v/>
      </c>
      <c r="R102" s="46">
        <f>SUM(C102:Q102)</f>
        <v/>
      </c>
    </row>
    <row r="103">
      <c r="A103" s="10" t="inlineStr">
        <is>
          <t>Bookkeeping</t>
        </is>
      </c>
      <c r="C103" s="45">
        <f>IF(C$23&gt;=DATE(YEAR(in_FxBooks_Start),MONTH(in_FxBooks_Start),1),in_FxBooks,0)</f>
        <v/>
      </c>
      <c r="D103" s="45">
        <f>IF(D$23&gt;=DATE(YEAR(in_FxBooks_Start),MONTH(in_FxBooks_Start),1),in_FxBooks,0)</f>
        <v/>
      </c>
      <c r="E103" s="45">
        <f>IF(E$23&gt;=DATE(YEAR(in_FxBooks_Start),MONTH(in_FxBooks_Start),1),in_FxBooks,0)</f>
        <v/>
      </c>
      <c r="F103" s="45">
        <f>IF(F$23&gt;=DATE(YEAR(in_FxBooks_Start),MONTH(in_FxBooks_Start),1),in_FxBooks,0)</f>
        <v/>
      </c>
      <c r="G103" s="45">
        <f>IF(G$23&gt;=DATE(YEAR(in_FxBooks_Start),MONTH(in_FxBooks_Start),1),in_FxBooks,0)</f>
        <v/>
      </c>
      <c r="H103" s="45">
        <f>IF(H$23&gt;=DATE(YEAR(in_FxBooks_Start),MONTH(in_FxBooks_Start),1),in_FxBooks,0)</f>
        <v/>
      </c>
      <c r="I103" s="45">
        <f>IF(I$23&gt;=DATE(YEAR(in_FxBooks_Start),MONTH(in_FxBooks_Start),1),in_FxBooks,0)</f>
        <v/>
      </c>
      <c r="J103" s="45">
        <f>IF(J$23&gt;=DATE(YEAR(in_FxBooks_Start),MONTH(in_FxBooks_Start),1),in_FxBooks,0)</f>
        <v/>
      </c>
      <c r="K103" s="45">
        <f>IF(K$23&gt;=DATE(YEAR(in_FxBooks_Start),MONTH(in_FxBooks_Start),1),in_FxBooks,0)</f>
        <v/>
      </c>
      <c r="L103" s="45">
        <f>IF(L$23&gt;=DATE(YEAR(in_FxBooks_Start),MONTH(in_FxBooks_Start),1),in_FxBooks,0)</f>
        <v/>
      </c>
      <c r="M103" s="45">
        <f>IF(M$23&gt;=DATE(YEAR(in_FxBooks_Start),MONTH(in_FxBooks_Start),1),in_FxBooks,0)</f>
        <v/>
      </c>
      <c r="N103" s="45">
        <f>IF(N$23&gt;=DATE(YEAR(in_FxBooks_Start),MONTH(in_FxBooks_Start),1),in_FxBooks,0)</f>
        <v/>
      </c>
      <c r="O103" s="45">
        <f>IF(O$23&gt;=DATE(YEAR(in_FxBooks_Start),MONTH(in_FxBooks_Start),1),in_FxBooks,0)</f>
        <v/>
      </c>
      <c r="P103" s="45">
        <f>IF(P$23&gt;=DATE(YEAR(in_FxBooks_Start),MONTH(in_FxBooks_Start),1),in_FxBooks,0)</f>
        <v/>
      </c>
      <c r="Q103" s="45">
        <f>IF(Q$23&gt;=DATE(YEAR(in_FxBooks_Start),MONTH(in_FxBooks_Start),1),in_FxBooks,0)</f>
        <v/>
      </c>
      <c r="R103" s="46">
        <f>SUM(C103:Q103)</f>
        <v/>
      </c>
    </row>
    <row r="104">
      <c r="A104" s="10" t="inlineStr">
        <is>
          <t>Amazon Professional plan</t>
        </is>
      </c>
      <c r="C104" s="45">
        <f>IF(C$23&gt;=DATE(YEAR(in_FxAmazon_Start),MONTH(in_FxAmazon_Start),1),in_FxAmazon,0)</f>
        <v/>
      </c>
      <c r="D104" s="45">
        <f>IF(D$23&gt;=DATE(YEAR(in_FxAmazon_Start),MONTH(in_FxAmazon_Start),1),in_FxAmazon,0)</f>
        <v/>
      </c>
      <c r="E104" s="45">
        <f>IF(E$23&gt;=DATE(YEAR(in_FxAmazon_Start),MONTH(in_FxAmazon_Start),1),in_FxAmazon,0)</f>
        <v/>
      </c>
      <c r="F104" s="45">
        <f>IF(F$23&gt;=DATE(YEAR(in_FxAmazon_Start),MONTH(in_FxAmazon_Start),1),in_FxAmazon,0)</f>
        <v/>
      </c>
      <c r="G104" s="45">
        <f>IF(G$23&gt;=DATE(YEAR(in_FxAmazon_Start),MONTH(in_FxAmazon_Start),1),in_FxAmazon,0)</f>
        <v/>
      </c>
      <c r="H104" s="45">
        <f>IF(H$23&gt;=DATE(YEAR(in_FxAmazon_Start),MONTH(in_FxAmazon_Start),1),in_FxAmazon,0)</f>
        <v/>
      </c>
      <c r="I104" s="45">
        <f>IF(I$23&gt;=DATE(YEAR(in_FxAmazon_Start),MONTH(in_FxAmazon_Start),1),in_FxAmazon,0)</f>
        <v/>
      </c>
      <c r="J104" s="45">
        <f>IF(J$23&gt;=DATE(YEAR(in_FxAmazon_Start),MONTH(in_FxAmazon_Start),1),in_FxAmazon,0)</f>
        <v/>
      </c>
      <c r="K104" s="45">
        <f>IF(K$23&gt;=DATE(YEAR(in_FxAmazon_Start),MONTH(in_FxAmazon_Start),1),in_FxAmazon,0)</f>
        <v/>
      </c>
      <c r="L104" s="45">
        <f>IF(L$23&gt;=DATE(YEAR(in_FxAmazon_Start),MONTH(in_FxAmazon_Start),1),in_FxAmazon,0)</f>
        <v/>
      </c>
      <c r="M104" s="45">
        <f>IF(M$23&gt;=DATE(YEAR(in_FxAmazon_Start),MONTH(in_FxAmazon_Start),1),in_FxAmazon,0)</f>
        <v/>
      </c>
      <c r="N104" s="45">
        <f>IF(N$23&gt;=DATE(YEAR(in_FxAmazon_Start),MONTH(in_FxAmazon_Start),1),in_FxAmazon,0)</f>
        <v/>
      </c>
      <c r="O104" s="45">
        <f>IF(O$23&gt;=DATE(YEAR(in_FxAmazon_Start),MONTH(in_FxAmazon_Start),1),in_FxAmazon,0)</f>
        <v/>
      </c>
      <c r="P104" s="45">
        <f>IF(P$23&gt;=DATE(YEAR(in_FxAmazon_Start),MONTH(in_FxAmazon_Start),1),in_FxAmazon,0)</f>
        <v/>
      </c>
      <c r="Q104" s="45">
        <f>IF(Q$23&gt;=DATE(YEAR(in_FxAmazon_Start),MONTH(in_FxAmazon_Start),1),in_FxAmazon,0)</f>
        <v/>
      </c>
      <c r="R104" s="46">
        <f>SUM(C104:Q104)</f>
        <v/>
      </c>
    </row>
    <row r="105">
      <c r="A105" s="26" t="inlineStr">
        <is>
          <t>Total fixed costs</t>
        </is>
      </c>
      <c r="C105" s="47">
        <f>SUM(C99:C104)</f>
        <v/>
      </c>
      <c r="D105" s="47">
        <f>SUM(D99:D104)</f>
        <v/>
      </c>
      <c r="E105" s="47">
        <f>SUM(E99:E104)</f>
        <v/>
      </c>
      <c r="F105" s="47">
        <f>SUM(F99:F104)</f>
        <v/>
      </c>
      <c r="G105" s="47">
        <f>SUM(G99:G104)</f>
        <v/>
      </c>
      <c r="H105" s="47">
        <f>SUM(H99:H104)</f>
        <v/>
      </c>
      <c r="I105" s="47">
        <f>SUM(I99:I104)</f>
        <v/>
      </c>
      <c r="J105" s="47">
        <f>SUM(J99:J104)</f>
        <v/>
      </c>
      <c r="K105" s="47">
        <f>SUM(K99:K104)</f>
        <v/>
      </c>
      <c r="L105" s="47">
        <f>SUM(L99:L104)</f>
        <v/>
      </c>
      <c r="M105" s="47">
        <f>SUM(M99:M104)</f>
        <v/>
      </c>
      <c r="N105" s="47">
        <f>SUM(N99:N104)</f>
        <v/>
      </c>
      <c r="O105" s="47">
        <f>SUM(O99:O104)</f>
        <v/>
      </c>
      <c r="P105" s="47">
        <f>SUM(P99:P104)</f>
        <v/>
      </c>
      <c r="Q105" s="47">
        <f>SUM(Q99:Q104)</f>
        <v/>
      </c>
      <c r="R105" s="46">
        <f>SUM(C105:Q105)</f>
        <v/>
      </c>
    </row>
    <row r="107">
      <c r="A107" s="7" t="inlineStr">
        <is>
          <t>One-time launch costs (cash out)</t>
        </is>
      </c>
      <c r="B107" s="8" t="n"/>
      <c r="C107" s="8" t="n"/>
      <c r="D107" s="8" t="n"/>
      <c r="E107" s="8" t="n"/>
      <c r="F107" s="8" t="n"/>
      <c r="G107" s="8" t="n"/>
      <c r="H107" s="8" t="n"/>
      <c r="I107" s="8" t="n"/>
      <c r="J107" s="8" t="n"/>
      <c r="K107" s="8" t="n"/>
      <c r="L107" s="8" t="n"/>
      <c r="M107" s="8" t="n"/>
      <c r="N107" s="8" t="n"/>
      <c r="O107" s="8" t="n"/>
      <c r="P107" s="8" t="n"/>
      <c r="Q107" s="8" t="n"/>
      <c r="R107" s="8" t="n"/>
    </row>
    <row r="108">
      <c r="A108" s="10" t="inlineStr">
        <is>
          <t>Company, trademark, lawyer review, insurance setup</t>
        </is>
      </c>
      <c r="C108" s="45">
        <f>IF(EOMONTH(in_OtCompany_D,0)=EOMONTH(C$23,0),IF($B$3="Lean",in_OtCompany_L,in_OtCompany_S),0)</f>
        <v/>
      </c>
      <c r="D108" s="45">
        <f>IF(EOMONTH(in_OtCompany_D,0)=EOMONTH(D$23,0),IF($B$3="Lean",in_OtCompany_L,in_OtCompany_S),0)</f>
        <v/>
      </c>
      <c r="E108" s="45">
        <f>IF(EOMONTH(in_OtCompany_D,0)=EOMONTH(E$23,0),IF($B$3="Lean",in_OtCompany_L,in_OtCompany_S),0)</f>
        <v/>
      </c>
      <c r="F108" s="45">
        <f>IF(EOMONTH(in_OtCompany_D,0)=EOMONTH(F$23,0),IF($B$3="Lean",in_OtCompany_L,in_OtCompany_S),0)</f>
        <v/>
      </c>
      <c r="G108" s="45">
        <f>IF(EOMONTH(in_OtCompany_D,0)=EOMONTH(G$23,0),IF($B$3="Lean",in_OtCompany_L,in_OtCompany_S),0)</f>
        <v/>
      </c>
      <c r="H108" s="45">
        <f>IF(EOMONTH(in_OtCompany_D,0)=EOMONTH(H$23,0),IF($B$3="Lean",in_OtCompany_L,in_OtCompany_S),0)</f>
        <v/>
      </c>
      <c r="I108" s="45">
        <f>IF(EOMONTH(in_OtCompany_D,0)=EOMONTH(I$23,0),IF($B$3="Lean",in_OtCompany_L,in_OtCompany_S),0)</f>
        <v/>
      </c>
      <c r="J108" s="45">
        <f>IF(EOMONTH(in_OtCompany_D,0)=EOMONTH(J$23,0),IF($B$3="Lean",in_OtCompany_L,in_OtCompany_S),0)</f>
        <v/>
      </c>
      <c r="K108" s="45">
        <f>IF(EOMONTH(in_OtCompany_D,0)=EOMONTH(K$23,0),IF($B$3="Lean",in_OtCompany_L,in_OtCompany_S),0)</f>
        <v/>
      </c>
      <c r="L108" s="45">
        <f>IF(EOMONTH(in_OtCompany_D,0)=EOMONTH(L$23,0),IF($B$3="Lean",in_OtCompany_L,in_OtCompany_S),0)</f>
        <v/>
      </c>
      <c r="M108" s="45">
        <f>IF(EOMONTH(in_OtCompany_D,0)=EOMONTH(M$23,0),IF($B$3="Lean",in_OtCompany_L,in_OtCompany_S),0)</f>
        <v/>
      </c>
      <c r="N108" s="45">
        <f>IF(EOMONTH(in_OtCompany_D,0)=EOMONTH(N$23,0),IF($B$3="Lean",in_OtCompany_L,in_OtCompany_S),0)</f>
        <v/>
      </c>
      <c r="O108" s="45">
        <f>IF(EOMONTH(in_OtCompany_D,0)=EOMONTH(O$23,0),IF($B$3="Lean",in_OtCompany_L,in_OtCompany_S),0)</f>
        <v/>
      </c>
      <c r="P108" s="45">
        <f>IF(EOMONTH(in_OtCompany_D,0)=EOMONTH(P$23,0),IF($B$3="Lean",in_OtCompany_L,in_OtCompany_S),0)</f>
        <v/>
      </c>
      <c r="Q108" s="45">
        <f>IF(EOMONTH(in_OtCompany_D,0)=EOMONTH(Q$23,0),IF($B$3="Lean",in_OtCompany_L,in_OtCompany_S),0)</f>
        <v/>
      </c>
      <c r="R108" s="46">
        <f>SUM(C108:Q108)</f>
        <v/>
      </c>
    </row>
    <row r="109">
      <c r="A109" s="10" t="inlineStr">
        <is>
          <t>Samples and flavour development (Strawberry)</t>
        </is>
      </c>
      <c r="C109" s="45">
        <f>IF(EOMONTH(in_OtSamples_D,0)=EOMONTH(C$23,0),IF($B$3="Lean",in_OtSamples_L,in_OtSamples_S),0)</f>
        <v/>
      </c>
      <c r="D109" s="45">
        <f>IF(EOMONTH(in_OtSamples_D,0)=EOMONTH(D$23,0),IF($B$3="Lean",in_OtSamples_L,in_OtSamples_S),0)</f>
        <v/>
      </c>
      <c r="E109" s="45">
        <f>IF(EOMONTH(in_OtSamples_D,0)=EOMONTH(E$23,0),IF($B$3="Lean",in_OtSamples_L,in_OtSamples_S),0)</f>
        <v/>
      </c>
      <c r="F109" s="45">
        <f>IF(EOMONTH(in_OtSamples_D,0)=EOMONTH(F$23,0),IF($B$3="Lean",in_OtSamples_L,in_OtSamples_S),0)</f>
        <v/>
      </c>
      <c r="G109" s="45">
        <f>IF(EOMONTH(in_OtSamples_D,0)=EOMONTH(G$23,0),IF($B$3="Lean",in_OtSamples_L,in_OtSamples_S),0)</f>
        <v/>
      </c>
      <c r="H109" s="45">
        <f>IF(EOMONTH(in_OtSamples_D,0)=EOMONTH(H$23,0),IF($B$3="Lean",in_OtSamples_L,in_OtSamples_S),0)</f>
        <v/>
      </c>
      <c r="I109" s="45">
        <f>IF(EOMONTH(in_OtSamples_D,0)=EOMONTH(I$23,0),IF($B$3="Lean",in_OtSamples_L,in_OtSamples_S),0)</f>
        <v/>
      </c>
      <c r="J109" s="45">
        <f>IF(EOMONTH(in_OtSamples_D,0)=EOMONTH(J$23,0),IF($B$3="Lean",in_OtSamples_L,in_OtSamples_S),0)</f>
        <v/>
      </c>
      <c r="K109" s="45">
        <f>IF(EOMONTH(in_OtSamples_D,0)=EOMONTH(K$23,0),IF($B$3="Lean",in_OtSamples_L,in_OtSamples_S),0)</f>
        <v/>
      </c>
      <c r="L109" s="45">
        <f>IF(EOMONTH(in_OtSamples_D,0)=EOMONTH(L$23,0),IF($B$3="Lean",in_OtSamples_L,in_OtSamples_S),0)</f>
        <v/>
      </c>
      <c r="M109" s="45">
        <f>IF(EOMONTH(in_OtSamples_D,0)=EOMONTH(M$23,0),IF($B$3="Lean",in_OtSamples_L,in_OtSamples_S),0)</f>
        <v/>
      </c>
      <c r="N109" s="45">
        <f>IF(EOMONTH(in_OtSamples_D,0)=EOMONTH(N$23,0),IF($B$3="Lean",in_OtSamples_L,in_OtSamples_S),0)</f>
        <v/>
      </c>
      <c r="O109" s="45">
        <f>IF(EOMONTH(in_OtSamples_D,0)=EOMONTH(O$23,0),IF($B$3="Lean",in_OtSamples_L,in_OtSamples_S),0)</f>
        <v/>
      </c>
      <c r="P109" s="45">
        <f>IF(EOMONTH(in_OtSamples_D,0)=EOMONTH(P$23,0),IF($B$3="Lean",in_OtSamples_L,in_OtSamples_S),0)</f>
        <v/>
      </c>
      <c r="Q109" s="45">
        <f>IF(EOMONTH(in_OtSamples_D,0)=EOMONTH(Q$23,0),IF($B$3="Lean",in_OtSamples_L,in_OtSamples_S),0)</f>
        <v/>
      </c>
      <c r="R109" s="46">
        <f>SUM(C109:Q109)</f>
        <v/>
      </c>
    </row>
    <row r="110">
      <c r="A110" s="10" t="inlineStr">
        <is>
          <t>Label and regulatory review</t>
        </is>
      </c>
      <c r="C110" s="45">
        <f>IF(EOMONTH(in_OtLabel_D,0)=EOMONTH(C$23,0),IF($B$3="Lean",in_OtLabel_L,in_OtLabel_S),0)</f>
        <v/>
      </c>
      <c r="D110" s="45">
        <f>IF(EOMONTH(in_OtLabel_D,0)=EOMONTH(D$23,0),IF($B$3="Lean",in_OtLabel_L,in_OtLabel_S),0)</f>
        <v/>
      </c>
      <c r="E110" s="45">
        <f>IF(EOMONTH(in_OtLabel_D,0)=EOMONTH(E$23,0),IF($B$3="Lean",in_OtLabel_L,in_OtLabel_S),0)</f>
        <v/>
      </c>
      <c r="F110" s="45">
        <f>IF(EOMONTH(in_OtLabel_D,0)=EOMONTH(F$23,0),IF($B$3="Lean",in_OtLabel_L,in_OtLabel_S),0)</f>
        <v/>
      </c>
      <c r="G110" s="45">
        <f>IF(EOMONTH(in_OtLabel_D,0)=EOMONTH(G$23,0),IF($B$3="Lean",in_OtLabel_L,in_OtLabel_S),0)</f>
        <v/>
      </c>
      <c r="H110" s="45">
        <f>IF(EOMONTH(in_OtLabel_D,0)=EOMONTH(H$23,0),IF($B$3="Lean",in_OtLabel_L,in_OtLabel_S),0)</f>
        <v/>
      </c>
      <c r="I110" s="45">
        <f>IF(EOMONTH(in_OtLabel_D,0)=EOMONTH(I$23,0),IF($B$3="Lean",in_OtLabel_L,in_OtLabel_S),0)</f>
        <v/>
      </c>
      <c r="J110" s="45">
        <f>IF(EOMONTH(in_OtLabel_D,0)=EOMONTH(J$23,0),IF($B$3="Lean",in_OtLabel_L,in_OtLabel_S),0)</f>
        <v/>
      </c>
      <c r="K110" s="45">
        <f>IF(EOMONTH(in_OtLabel_D,0)=EOMONTH(K$23,0),IF($B$3="Lean",in_OtLabel_L,in_OtLabel_S),0)</f>
        <v/>
      </c>
      <c r="L110" s="45">
        <f>IF(EOMONTH(in_OtLabel_D,0)=EOMONTH(L$23,0),IF($B$3="Lean",in_OtLabel_L,in_OtLabel_S),0)</f>
        <v/>
      </c>
      <c r="M110" s="45">
        <f>IF(EOMONTH(in_OtLabel_D,0)=EOMONTH(M$23,0),IF($B$3="Lean",in_OtLabel_L,in_OtLabel_S),0)</f>
        <v/>
      </c>
      <c r="N110" s="45">
        <f>IF(EOMONTH(in_OtLabel_D,0)=EOMONTH(N$23,0),IF($B$3="Lean",in_OtLabel_L,in_OtLabel_S),0)</f>
        <v/>
      </c>
      <c r="O110" s="45">
        <f>IF(EOMONTH(in_OtLabel_D,0)=EOMONTH(O$23,0),IF($B$3="Lean",in_OtLabel_L,in_OtLabel_S),0)</f>
        <v/>
      </c>
      <c r="P110" s="45">
        <f>IF(EOMONTH(in_OtLabel_D,0)=EOMONTH(P$23,0),IF($B$3="Lean",in_OtLabel_L,in_OtLabel_S),0)</f>
        <v/>
      </c>
      <c r="Q110" s="45">
        <f>IF(EOMONTH(in_OtLabel_D,0)=EOMONTH(Q$23,0),IF($B$3="Lean",in_OtLabel_L,in_OtLabel_S),0)</f>
        <v/>
      </c>
      <c r="R110" s="46">
        <f>SUM(C110:Q110)</f>
        <v/>
      </c>
    </row>
    <row r="111">
      <c r="A111" s="10" t="inlineStr">
        <is>
          <t>Launch kit: shakers, display, sampling supplies, apps</t>
        </is>
      </c>
      <c r="C111" s="45">
        <f>IF(EOMONTH(in_OtKit_D,0)=EOMONTH(C$23,0),IF($B$3="Lean",in_OtKit_L,in_OtKit_S),0)</f>
        <v/>
      </c>
      <c r="D111" s="45">
        <f>IF(EOMONTH(in_OtKit_D,0)=EOMONTH(D$23,0),IF($B$3="Lean",in_OtKit_L,in_OtKit_S),0)</f>
        <v/>
      </c>
      <c r="E111" s="45">
        <f>IF(EOMONTH(in_OtKit_D,0)=EOMONTH(E$23,0),IF($B$3="Lean",in_OtKit_L,in_OtKit_S),0)</f>
        <v/>
      </c>
      <c r="F111" s="45">
        <f>IF(EOMONTH(in_OtKit_D,0)=EOMONTH(F$23,0),IF($B$3="Lean",in_OtKit_L,in_OtKit_S),0)</f>
        <v/>
      </c>
      <c r="G111" s="45">
        <f>IF(EOMONTH(in_OtKit_D,0)=EOMONTH(G$23,0),IF($B$3="Lean",in_OtKit_L,in_OtKit_S),0)</f>
        <v/>
      </c>
      <c r="H111" s="45">
        <f>IF(EOMONTH(in_OtKit_D,0)=EOMONTH(H$23,0),IF($B$3="Lean",in_OtKit_L,in_OtKit_S),0)</f>
        <v/>
      </c>
      <c r="I111" s="45">
        <f>IF(EOMONTH(in_OtKit_D,0)=EOMONTH(I$23,0),IF($B$3="Lean",in_OtKit_L,in_OtKit_S),0)</f>
        <v/>
      </c>
      <c r="J111" s="45">
        <f>IF(EOMONTH(in_OtKit_D,0)=EOMONTH(J$23,0),IF($B$3="Lean",in_OtKit_L,in_OtKit_S),0)</f>
        <v/>
      </c>
      <c r="K111" s="45">
        <f>IF(EOMONTH(in_OtKit_D,0)=EOMONTH(K$23,0),IF($B$3="Lean",in_OtKit_L,in_OtKit_S),0)</f>
        <v/>
      </c>
      <c r="L111" s="45">
        <f>IF(EOMONTH(in_OtKit_D,0)=EOMONTH(L$23,0),IF($B$3="Lean",in_OtKit_L,in_OtKit_S),0)</f>
        <v/>
      </c>
      <c r="M111" s="45">
        <f>IF(EOMONTH(in_OtKit_D,0)=EOMONTH(M$23,0),IF($B$3="Lean",in_OtKit_L,in_OtKit_S),0)</f>
        <v/>
      </c>
      <c r="N111" s="45">
        <f>IF(EOMONTH(in_OtKit_D,0)=EOMONTH(N$23,0),IF($B$3="Lean",in_OtKit_L,in_OtKit_S),0)</f>
        <v/>
      </c>
      <c r="O111" s="45">
        <f>IF(EOMONTH(in_OtKit_D,0)=EOMONTH(O$23,0),IF($B$3="Lean",in_OtKit_L,in_OtKit_S),0)</f>
        <v/>
      </c>
      <c r="P111" s="45">
        <f>IF(EOMONTH(in_OtKit_D,0)=EOMONTH(P$23,0),IF($B$3="Lean",in_OtKit_L,in_OtKit_S),0)</f>
        <v/>
      </c>
      <c r="Q111" s="45">
        <f>IF(EOMONTH(in_OtKit_D,0)=EOMONTH(Q$23,0),IF($B$3="Lean",in_OtKit_L,in_OtKit_S),0)</f>
        <v/>
      </c>
      <c r="R111" s="46">
        <f>SUM(C111:Q111)</f>
        <v/>
      </c>
    </row>
    <row r="112">
      <c r="A112" s="10" t="inlineStr">
        <is>
          <t>Real Fruit Hydration sticks (development and first run)</t>
        </is>
      </c>
      <c r="C112" s="45">
        <f>IF(EOMONTH(in_OtHydra_D,0)=EOMONTH(C$23,0),IF($B$3="Lean",in_OtHydra_L,in_OtHydra_S),0)*in_HydraOn</f>
        <v/>
      </c>
      <c r="D112" s="45">
        <f>IF(EOMONTH(in_OtHydra_D,0)=EOMONTH(D$23,0),IF($B$3="Lean",in_OtHydra_L,in_OtHydra_S),0)*in_HydraOn</f>
        <v/>
      </c>
      <c r="E112" s="45">
        <f>IF(EOMONTH(in_OtHydra_D,0)=EOMONTH(E$23,0),IF($B$3="Lean",in_OtHydra_L,in_OtHydra_S),0)*in_HydraOn</f>
        <v/>
      </c>
      <c r="F112" s="45">
        <f>IF(EOMONTH(in_OtHydra_D,0)=EOMONTH(F$23,0),IF($B$3="Lean",in_OtHydra_L,in_OtHydra_S),0)*in_HydraOn</f>
        <v/>
      </c>
      <c r="G112" s="45">
        <f>IF(EOMONTH(in_OtHydra_D,0)=EOMONTH(G$23,0),IF($B$3="Lean",in_OtHydra_L,in_OtHydra_S),0)*in_HydraOn</f>
        <v/>
      </c>
      <c r="H112" s="45">
        <f>IF(EOMONTH(in_OtHydra_D,0)=EOMONTH(H$23,0),IF($B$3="Lean",in_OtHydra_L,in_OtHydra_S),0)*in_HydraOn</f>
        <v/>
      </c>
      <c r="I112" s="45">
        <f>IF(EOMONTH(in_OtHydra_D,0)=EOMONTH(I$23,0),IF($B$3="Lean",in_OtHydra_L,in_OtHydra_S),0)*in_HydraOn</f>
        <v/>
      </c>
      <c r="J112" s="45">
        <f>IF(EOMONTH(in_OtHydra_D,0)=EOMONTH(J$23,0),IF($B$3="Lean",in_OtHydra_L,in_OtHydra_S),0)*in_HydraOn</f>
        <v/>
      </c>
      <c r="K112" s="45">
        <f>IF(EOMONTH(in_OtHydra_D,0)=EOMONTH(K$23,0),IF($B$3="Lean",in_OtHydra_L,in_OtHydra_S),0)*in_HydraOn</f>
        <v/>
      </c>
      <c r="L112" s="45">
        <f>IF(EOMONTH(in_OtHydra_D,0)=EOMONTH(L$23,0),IF($B$3="Lean",in_OtHydra_L,in_OtHydra_S),0)*in_HydraOn</f>
        <v/>
      </c>
      <c r="M112" s="45">
        <f>IF(EOMONTH(in_OtHydra_D,0)=EOMONTH(M$23,0),IF($B$3="Lean",in_OtHydra_L,in_OtHydra_S),0)*in_HydraOn</f>
        <v/>
      </c>
      <c r="N112" s="45">
        <f>IF(EOMONTH(in_OtHydra_D,0)=EOMONTH(N$23,0),IF($B$3="Lean",in_OtHydra_L,in_OtHydra_S),0)*in_HydraOn</f>
        <v/>
      </c>
      <c r="O112" s="45">
        <f>IF(EOMONTH(in_OtHydra_D,0)=EOMONTH(O$23,0),IF($B$3="Lean",in_OtHydra_L,in_OtHydra_S),0)*in_HydraOn</f>
        <v/>
      </c>
      <c r="P112" s="45">
        <f>IF(EOMONTH(in_OtHydra_D,0)=EOMONTH(P$23,0),IF($B$3="Lean",in_OtHydra_L,in_OtHydra_S),0)*in_HydraOn</f>
        <v/>
      </c>
      <c r="Q112" s="45">
        <f>IF(EOMONTH(in_OtHydra_D,0)=EOMONTH(Q$23,0),IF($B$3="Lean",in_OtHydra_L,in_OtHydra_S),0)*in_HydraOn</f>
        <v/>
      </c>
      <c r="R112" s="46">
        <f>SUM(C112:Q112)</f>
        <v/>
      </c>
    </row>
    <row r="113">
      <c r="A113" s="10" t="inlineStr">
        <is>
          <t>Second protein flavour: samples and development</t>
        </is>
      </c>
      <c r="C113" s="45">
        <f>IF(EOMONTH(in_OtFlavor2_D,0)=EOMONTH(C$23,0),IF($B$3="Lean",in_OtFlavor2_L,in_OtFlavor2_S),0)*in_Flavor2On</f>
        <v/>
      </c>
      <c r="D113" s="45">
        <f>IF(EOMONTH(in_OtFlavor2_D,0)=EOMONTH(D$23,0),IF($B$3="Lean",in_OtFlavor2_L,in_OtFlavor2_S),0)*in_Flavor2On</f>
        <v/>
      </c>
      <c r="E113" s="45">
        <f>IF(EOMONTH(in_OtFlavor2_D,0)=EOMONTH(E$23,0),IF($B$3="Lean",in_OtFlavor2_L,in_OtFlavor2_S),0)*in_Flavor2On</f>
        <v/>
      </c>
      <c r="F113" s="45">
        <f>IF(EOMONTH(in_OtFlavor2_D,0)=EOMONTH(F$23,0),IF($B$3="Lean",in_OtFlavor2_L,in_OtFlavor2_S),0)*in_Flavor2On</f>
        <v/>
      </c>
      <c r="G113" s="45">
        <f>IF(EOMONTH(in_OtFlavor2_D,0)=EOMONTH(G$23,0),IF($B$3="Lean",in_OtFlavor2_L,in_OtFlavor2_S),0)*in_Flavor2On</f>
        <v/>
      </c>
      <c r="H113" s="45">
        <f>IF(EOMONTH(in_OtFlavor2_D,0)=EOMONTH(H$23,0),IF($B$3="Lean",in_OtFlavor2_L,in_OtFlavor2_S),0)*in_Flavor2On</f>
        <v/>
      </c>
      <c r="I113" s="45">
        <f>IF(EOMONTH(in_OtFlavor2_D,0)=EOMONTH(I$23,0),IF($B$3="Lean",in_OtFlavor2_L,in_OtFlavor2_S),0)*in_Flavor2On</f>
        <v/>
      </c>
      <c r="J113" s="45">
        <f>IF(EOMONTH(in_OtFlavor2_D,0)=EOMONTH(J$23,0),IF($B$3="Lean",in_OtFlavor2_L,in_OtFlavor2_S),0)*in_Flavor2On</f>
        <v/>
      </c>
      <c r="K113" s="45">
        <f>IF(EOMONTH(in_OtFlavor2_D,0)=EOMONTH(K$23,0),IF($B$3="Lean",in_OtFlavor2_L,in_OtFlavor2_S),0)*in_Flavor2On</f>
        <v/>
      </c>
      <c r="L113" s="45">
        <f>IF(EOMONTH(in_OtFlavor2_D,0)=EOMONTH(L$23,0),IF($B$3="Lean",in_OtFlavor2_L,in_OtFlavor2_S),0)*in_Flavor2On</f>
        <v/>
      </c>
      <c r="M113" s="45">
        <f>IF(EOMONTH(in_OtFlavor2_D,0)=EOMONTH(M$23,0),IF($B$3="Lean",in_OtFlavor2_L,in_OtFlavor2_S),0)*in_Flavor2On</f>
        <v/>
      </c>
      <c r="N113" s="45">
        <f>IF(EOMONTH(in_OtFlavor2_D,0)=EOMONTH(N$23,0),IF($B$3="Lean",in_OtFlavor2_L,in_OtFlavor2_S),0)*in_Flavor2On</f>
        <v/>
      </c>
      <c r="O113" s="45">
        <f>IF(EOMONTH(in_OtFlavor2_D,0)=EOMONTH(O$23,0),IF($B$3="Lean",in_OtFlavor2_L,in_OtFlavor2_S),0)*in_Flavor2On</f>
        <v/>
      </c>
      <c r="P113" s="45">
        <f>IF(EOMONTH(in_OtFlavor2_D,0)=EOMONTH(P$23,0),IF($B$3="Lean",in_OtFlavor2_L,in_OtFlavor2_S),0)*in_Flavor2On</f>
        <v/>
      </c>
      <c r="Q113" s="45">
        <f>IF(EOMONTH(in_OtFlavor2_D,0)=EOMONTH(Q$23,0),IF($B$3="Lean",in_OtFlavor2_L,in_OtFlavor2_S),0)*in_Flavor2On</f>
        <v/>
      </c>
      <c r="R113" s="46">
        <f>SUM(C113:Q113)</f>
        <v/>
      </c>
    </row>
    <row r="114">
      <c r="A114" s="10" t="inlineStr">
        <is>
          <t>Optional: Picked Creatine via Supliful</t>
        </is>
      </c>
      <c r="C114" s="45">
        <f>IF(EOMONTH(in_OtCreatine_D,0)=EOMONTH(C$23,0),IF($B$3="Lean",in_OtCreatine_L,in_OtCreatine_S),0)</f>
        <v/>
      </c>
      <c r="D114" s="45">
        <f>IF(EOMONTH(in_OtCreatine_D,0)=EOMONTH(D$23,0),IF($B$3="Lean",in_OtCreatine_L,in_OtCreatine_S),0)</f>
        <v/>
      </c>
      <c r="E114" s="45">
        <f>IF(EOMONTH(in_OtCreatine_D,0)=EOMONTH(E$23,0),IF($B$3="Lean",in_OtCreatine_L,in_OtCreatine_S),0)</f>
        <v/>
      </c>
      <c r="F114" s="45">
        <f>IF(EOMONTH(in_OtCreatine_D,0)=EOMONTH(F$23,0),IF($B$3="Lean",in_OtCreatine_L,in_OtCreatine_S),0)</f>
        <v/>
      </c>
      <c r="G114" s="45">
        <f>IF(EOMONTH(in_OtCreatine_D,0)=EOMONTH(G$23,0),IF($B$3="Lean",in_OtCreatine_L,in_OtCreatine_S),0)</f>
        <v/>
      </c>
      <c r="H114" s="45">
        <f>IF(EOMONTH(in_OtCreatine_D,0)=EOMONTH(H$23,0),IF($B$3="Lean",in_OtCreatine_L,in_OtCreatine_S),0)</f>
        <v/>
      </c>
      <c r="I114" s="45">
        <f>IF(EOMONTH(in_OtCreatine_D,0)=EOMONTH(I$23,0),IF($B$3="Lean",in_OtCreatine_L,in_OtCreatine_S),0)</f>
        <v/>
      </c>
      <c r="J114" s="45">
        <f>IF(EOMONTH(in_OtCreatine_D,0)=EOMONTH(J$23,0),IF($B$3="Lean",in_OtCreatine_L,in_OtCreatine_S),0)</f>
        <v/>
      </c>
      <c r="K114" s="45">
        <f>IF(EOMONTH(in_OtCreatine_D,0)=EOMONTH(K$23,0),IF($B$3="Lean",in_OtCreatine_L,in_OtCreatine_S),0)</f>
        <v/>
      </c>
      <c r="L114" s="45">
        <f>IF(EOMONTH(in_OtCreatine_D,0)=EOMONTH(L$23,0),IF($B$3="Lean",in_OtCreatine_L,in_OtCreatine_S),0)</f>
        <v/>
      </c>
      <c r="M114" s="45">
        <f>IF(EOMONTH(in_OtCreatine_D,0)=EOMONTH(M$23,0),IF($B$3="Lean",in_OtCreatine_L,in_OtCreatine_S),0)</f>
        <v/>
      </c>
      <c r="N114" s="45">
        <f>IF(EOMONTH(in_OtCreatine_D,0)=EOMONTH(N$23,0),IF($B$3="Lean",in_OtCreatine_L,in_OtCreatine_S),0)</f>
        <v/>
      </c>
      <c r="O114" s="45">
        <f>IF(EOMONTH(in_OtCreatine_D,0)=EOMONTH(O$23,0),IF($B$3="Lean",in_OtCreatine_L,in_OtCreatine_S),0)</f>
        <v/>
      </c>
      <c r="P114" s="45">
        <f>IF(EOMONTH(in_OtCreatine_D,0)=EOMONTH(P$23,0),IF($B$3="Lean",in_OtCreatine_L,in_OtCreatine_S),0)</f>
        <v/>
      </c>
      <c r="Q114" s="45">
        <f>IF(EOMONTH(in_OtCreatine_D,0)=EOMONTH(Q$23,0),IF($B$3="Lean",in_OtCreatine_L,in_OtCreatine_S),0)</f>
        <v/>
      </c>
      <c r="R114" s="46">
        <f>SUM(C114:Q114)</f>
        <v/>
      </c>
    </row>
    <row r="115">
      <c r="A115" s="26" t="inlineStr">
        <is>
          <t>Total one-time launch costs</t>
        </is>
      </c>
      <c r="C115" s="47">
        <f>SUM(C108:C114)</f>
        <v/>
      </c>
      <c r="D115" s="47">
        <f>SUM(D108:D114)</f>
        <v/>
      </c>
      <c r="E115" s="47">
        <f>SUM(E108:E114)</f>
        <v/>
      </c>
      <c r="F115" s="47">
        <f>SUM(F108:F114)</f>
        <v/>
      </c>
      <c r="G115" s="47">
        <f>SUM(G108:G114)</f>
        <v/>
      </c>
      <c r="H115" s="47">
        <f>SUM(H108:H114)</f>
        <v/>
      </c>
      <c r="I115" s="47">
        <f>SUM(I108:I114)</f>
        <v/>
      </c>
      <c r="J115" s="47">
        <f>SUM(J108:J114)</f>
        <v/>
      </c>
      <c r="K115" s="47">
        <f>SUM(K108:K114)</f>
        <v/>
      </c>
      <c r="L115" s="47">
        <f>SUM(L108:L114)</f>
        <v/>
      </c>
      <c r="M115" s="47">
        <f>SUM(M108:M114)</f>
        <v/>
      </c>
      <c r="N115" s="47">
        <f>SUM(N108:N114)</f>
        <v/>
      </c>
      <c r="O115" s="47">
        <f>SUM(O108:O114)</f>
        <v/>
      </c>
      <c r="P115" s="47">
        <f>SUM(P108:P114)</f>
        <v/>
      </c>
      <c r="Q115" s="47">
        <f>SUM(Q108:Q114)</f>
        <v/>
      </c>
      <c r="R115" s="46">
        <f>SUM(C115:Q115)</f>
        <v/>
      </c>
    </row>
    <row r="117">
      <c r="A117" s="7" t="inlineStr">
        <is>
          <t>Cash position</t>
        </is>
      </c>
      <c r="B117" s="8" t="n"/>
      <c r="C117" s="8" t="n"/>
      <c r="D117" s="8" t="n"/>
      <c r="E117" s="8" t="n"/>
      <c r="F117" s="8" t="n"/>
      <c r="G117" s="8" t="n"/>
      <c r="H117" s="8" t="n"/>
      <c r="I117" s="8" t="n"/>
      <c r="J117" s="8" t="n"/>
      <c r="K117" s="8" t="n"/>
      <c r="L117" s="8" t="n"/>
      <c r="M117" s="8" t="n"/>
      <c r="N117" s="8" t="n"/>
      <c r="O117" s="8" t="n"/>
      <c r="P117" s="8" t="n"/>
      <c r="Q117" s="8" t="n"/>
      <c r="R117" s="8" t="n"/>
    </row>
    <row r="118">
      <c r="A118" s="26" t="inlineStr">
        <is>
          <t>Net cash flow</t>
        </is>
      </c>
      <c r="C118" s="47">
        <f>C77-C84-C91-C96-C105-C115</f>
        <v/>
      </c>
      <c r="D118" s="47">
        <f>D77-D84-D91-D96-D105-D115</f>
        <v/>
      </c>
      <c r="E118" s="47">
        <f>E77-E84-E91-E96-E105-E115</f>
        <v/>
      </c>
      <c r="F118" s="47">
        <f>F77-F84-F91-F96-F105-F115</f>
        <v/>
      </c>
      <c r="G118" s="47">
        <f>G77-G84-G91-G96-G105-G115</f>
        <v/>
      </c>
      <c r="H118" s="47">
        <f>H77-H84-H91-H96-H105-H115</f>
        <v/>
      </c>
      <c r="I118" s="47">
        <f>I77-I84-I91-I96-I105-I115</f>
        <v/>
      </c>
      <c r="J118" s="47">
        <f>J77-J84-J91-J96-J105-J115</f>
        <v/>
      </c>
      <c r="K118" s="47">
        <f>K77-K84-K91-K96-K105-K115</f>
        <v/>
      </c>
      <c r="L118" s="47">
        <f>L77-L84-L91-L96-L105-L115</f>
        <v/>
      </c>
      <c r="M118" s="47">
        <f>M77-M84-M91-M96-M105-M115</f>
        <v/>
      </c>
      <c r="N118" s="47">
        <f>N77-N84-N91-N96-N105-N115</f>
        <v/>
      </c>
      <c r="O118" s="47">
        <f>O77-O84-O91-O96-O105-O115</f>
        <v/>
      </c>
      <c r="P118" s="47">
        <f>P77-P84-P91-P96-P105-P115</f>
        <v/>
      </c>
      <c r="Q118" s="47">
        <f>Q77-Q84-Q91-Q96-Q105-Q115</f>
        <v/>
      </c>
      <c r="R118" s="46">
        <f>SUM(C118:Q118)</f>
        <v/>
      </c>
    </row>
    <row r="119">
      <c r="A119" s="10" t="inlineStr">
        <is>
          <t>Cumulative net cash flow</t>
        </is>
      </c>
      <c r="C119" s="45">
        <f>C118</f>
        <v/>
      </c>
      <c r="D119" s="45">
        <f>C119+D118</f>
        <v/>
      </c>
      <c r="E119" s="45">
        <f>D119+E118</f>
        <v/>
      </c>
      <c r="F119" s="45">
        <f>E119+F118</f>
        <v/>
      </c>
      <c r="G119" s="45">
        <f>F119+G118</f>
        <v/>
      </c>
      <c r="H119" s="45">
        <f>G119+H118</f>
        <v/>
      </c>
      <c r="I119" s="45">
        <f>H119+I118</f>
        <v/>
      </c>
      <c r="J119" s="45">
        <f>I119+J118</f>
        <v/>
      </c>
      <c r="K119" s="45">
        <f>J119+K118</f>
        <v/>
      </c>
      <c r="L119" s="45">
        <f>K119+L118</f>
        <v/>
      </c>
      <c r="M119" s="45">
        <f>L119+M118</f>
        <v/>
      </c>
      <c r="N119" s="45">
        <f>M119+N118</f>
        <v/>
      </c>
      <c r="O119" s="45">
        <f>N119+O118</f>
        <v/>
      </c>
      <c r="P119" s="45">
        <f>O119+P118</f>
        <v/>
      </c>
      <c r="Q119" s="45">
        <f>P119+Q118</f>
        <v/>
      </c>
    </row>
    <row r="120">
      <c r="A120" s="26" t="inlineStr">
        <is>
          <t>Cash balance (starting cash + cumulative)</t>
        </is>
      </c>
      <c r="C120" s="47">
        <f>in_StartCash+C119</f>
        <v/>
      </c>
      <c r="D120" s="47">
        <f>in_StartCash+D119</f>
        <v/>
      </c>
      <c r="E120" s="47">
        <f>in_StartCash+E119</f>
        <v/>
      </c>
      <c r="F120" s="47">
        <f>in_StartCash+F119</f>
        <v/>
      </c>
      <c r="G120" s="47">
        <f>in_StartCash+G119</f>
        <v/>
      </c>
      <c r="H120" s="47">
        <f>in_StartCash+H119</f>
        <v/>
      </c>
      <c r="I120" s="47">
        <f>in_StartCash+I119</f>
        <v/>
      </c>
      <c r="J120" s="47">
        <f>in_StartCash+J119</f>
        <v/>
      </c>
      <c r="K120" s="47">
        <f>in_StartCash+K119</f>
        <v/>
      </c>
      <c r="L120" s="47">
        <f>in_StartCash+L119</f>
        <v/>
      </c>
      <c r="M120" s="47">
        <f>in_StartCash+M119</f>
        <v/>
      </c>
      <c r="N120" s="47">
        <f>in_StartCash+N119</f>
        <v/>
      </c>
      <c r="O120" s="47">
        <f>in_StartCash+O119</f>
        <v/>
      </c>
      <c r="P120" s="47">
        <f>in_StartCash+P119</f>
        <v/>
      </c>
      <c r="Q120" s="47">
        <f>in_StartCash+Q119</f>
        <v/>
      </c>
    </row>
    <row r="121">
      <c r="A121" s="10" t="inlineStr">
        <is>
          <t>Lowest cash month</t>
        </is>
      </c>
      <c r="B121" s="6" t="inlineStr">
        <is>
          <t>Flags the low point</t>
        </is>
      </c>
      <c r="C121" s="10">
        <f>IF(C120=MIN($C$120:$Q$120),"LOWEST","")</f>
        <v/>
      </c>
      <c r="D121" s="10">
        <f>IF(D120=MIN($C$120:$Q$120),"LOWEST","")</f>
        <v/>
      </c>
      <c r="E121" s="10">
        <f>IF(E120=MIN($C$120:$Q$120),"LOWEST","")</f>
        <v/>
      </c>
      <c r="F121" s="10">
        <f>IF(F120=MIN($C$120:$Q$120),"LOWEST","")</f>
        <v/>
      </c>
      <c r="G121" s="10">
        <f>IF(G120=MIN($C$120:$Q$120),"LOWEST","")</f>
        <v/>
      </c>
      <c r="H121" s="10">
        <f>IF(H120=MIN($C$120:$Q$120),"LOWEST","")</f>
        <v/>
      </c>
      <c r="I121" s="10">
        <f>IF(I120=MIN($C$120:$Q$120),"LOWEST","")</f>
        <v/>
      </c>
      <c r="J121" s="10">
        <f>IF(J120=MIN($C$120:$Q$120),"LOWEST","")</f>
        <v/>
      </c>
      <c r="K121" s="10">
        <f>IF(K120=MIN($C$120:$Q$120),"LOWEST","")</f>
        <v/>
      </c>
      <c r="L121" s="10">
        <f>IF(L120=MIN($C$120:$Q$120),"LOWEST","")</f>
        <v/>
      </c>
      <c r="M121" s="10">
        <f>IF(M120=MIN($C$120:$Q$120),"LOWEST","")</f>
        <v/>
      </c>
      <c r="N121" s="10">
        <f>IF(N120=MIN($C$120:$Q$120),"LOWEST","")</f>
        <v/>
      </c>
      <c r="O121" s="10">
        <f>IF(O120=MIN($C$120:$Q$120),"LOWEST","")</f>
        <v/>
      </c>
      <c r="P121" s="10">
        <f>IF(P120=MIN($C$120:$Q$120),"LOWEST","")</f>
        <v/>
      </c>
      <c r="Q121" s="10">
        <f>IF(Q120=MIN($C$120:$Q$120),"LOWEST","")</f>
        <v/>
      </c>
    </row>
    <row r="123">
      <c r="A123" s="7" t="inlineStr">
        <is>
          <t>Operating view (accrual memo: COGS on units sold, launch costs excluded)</t>
        </is>
      </c>
      <c r="B123" s="8" t="n"/>
      <c r="C123" s="8" t="n"/>
      <c r="D123" s="8" t="n"/>
      <c r="E123" s="8" t="n"/>
      <c r="F123" s="8" t="n"/>
      <c r="G123" s="8" t="n"/>
      <c r="H123" s="8" t="n"/>
      <c r="I123" s="8" t="n"/>
      <c r="J123" s="8" t="n"/>
      <c r="K123" s="8" t="n"/>
      <c r="L123" s="8" t="n"/>
      <c r="M123" s="8" t="n"/>
      <c r="N123" s="8" t="n"/>
      <c r="O123" s="8" t="n"/>
      <c r="P123" s="8" t="n"/>
      <c r="Q123" s="8" t="n"/>
      <c r="R123" s="8" t="n"/>
    </row>
    <row r="124">
      <c r="A124" s="10" t="inlineStr">
        <is>
          <t>Revenue (DTC + wholesale invoiced)</t>
        </is>
      </c>
      <c r="C124" s="45">
        <f>C74+C75</f>
        <v/>
      </c>
      <c r="D124" s="45">
        <f>D74+D75</f>
        <v/>
      </c>
      <c r="E124" s="45">
        <f>E74+E75</f>
        <v/>
      </c>
      <c r="F124" s="45">
        <f>F74+F75</f>
        <v/>
      </c>
      <c r="G124" s="45">
        <f>G74+G75</f>
        <v/>
      </c>
      <c r="H124" s="45">
        <f>H74+H75</f>
        <v/>
      </c>
      <c r="I124" s="45">
        <f>I74+I75</f>
        <v/>
      </c>
      <c r="J124" s="45">
        <f>J74+J75</f>
        <v/>
      </c>
      <c r="K124" s="45">
        <f>K74+K75</f>
        <v/>
      </c>
      <c r="L124" s="45">
        <f>L74+L75</f>
        <v/>
      </c>
      <c r="M124" s="45">
        <f>M74+M75</f>
        <v/>
      </c>
      <c r="N124" s="45">
        <f>N74+N75</f>
        <v/>
      </c>
      <c r="O124" s="45">
        <f>O74+O75</f>
        <v/>
      </c>
      <c r="P124" s="45">
        <f>P74+P75</f>
        <v/>
      </c>
      <c r="Q124" s="45">
        <f>Q74+Q75</f>
        <v/>
      </c>
      <c r="R124" s="46">
        <f>SUM(C124:Q124)</f>
        <v/>
      </c>
    </row>
    <row r="125">
      <c r="A125" s="10" t="inlineStr">
        <is>
          <t>COGS on units sold</t>
        </is>
      </c>
      <c r="C125" s="45">
        <f>C53*$B$6+C64*$B$7</f>
        <v/>
      </c>
      <c r="D125" s="45">
        <f>D53*$B$6+D64*$B$7</f>
        <v/>
      </c>
      <c r="E125" s="45">
        <f>E53*$B$6+E64*$B$7</f>
        <v/>
      </c>
      <c r="F125" s="45">
        <f>F53*$B$6+F64*$B$7</f>
        <v/>
      </c>
      <c r="G125" s="45">
        <f>G53*$B$6+G64*$B$7</f>
        <v/>
      </c>
      <c r="H125" s="45">
        <f>H53*$B$6+H64*$B$7</f>
        <v/>
      </c>
      <c r="I125" s="45">
        <f>I53*$B$6+I64*$B$7</f>
        <v/>
      </c>
      <c r="J125" s="45">
        <f>J53*$B$6+J64*$B$7</f>
        <v/>
      </c>
      <c r="K125" s="45">
        <f>K53*$B$6+K64*$B$7</f>
        <v/>
      </c>
      <c r="L125" s="45">
        <f>L53*$B$6+L64*$B$7</f>
        <v/>
      </c>
      <c r="M125" s="45">
        <f>M53*$B$6+M64*$B$7</f>
        <v/>
      </c>
      <c r="N125" s="45">
        <f>N53*$B$6+N64*$B$7</f>
        <v/>
      </c>
      <c r="O125" s="45">
        <f>O53*$B$6+O64*$B$7</f>
        <v/>
      </c>
      <c r="P125" s="45">
        <f>P53*$B$6+P64*$B$7</f>
        <v/>
      </c>
      <c r="Q125" s="45">
        <f>Q53*$B$6+Q64*$B$7</f>
        <v/>
      </c>
      <c r="R125" s="46">
        <f>SUM(C125:Q125)</f>
        <v/>
      </c>
    </row>
    <row r="126">
      <c r="A126" s="26" t="inlineStr">
        <is>
          <t>Operating profit (revenue - COGS - variable - marketing - fixed)</t>
        </is>
      </c>
      <c r="C126" s="47">
        <f>C124-C125-C91-C96-C105</f>
        <v/>
      </c>
      <c r="D126" s="47">
        <f>D124-D125-D91-D96-D105</f>
        <v/>
      </c>
      <c r="E126" s="47">
        <f>E124-E125-E91-E96-E105</f>
        <v/>
      </c>
      <c r="F126" s="47">
        <f>F124-F125-F91-F96-F105</f>
        <v/>
      </c>
      <c r="G126" s="47">
        <f>G124-G125-G91-G96-G105</f>
        <v/>
      </c>
      <c r="H126" s="47">
        <f>H124-H125-H91-H96-H105</f>
        <v/>
      </c>
      <c r="I126" s="47">
        <f>I124-I125-I91-I96-I105</f>
        <v/>
      </c>
      <c r="J126" s="47">
        <f>J124-J125-J91-J96-J105</f>
        <v/>
      </c>
      <c r="K126" s="47">
        <f>K124-K125-K91-K96-K105</f>
        <v/>
      </c>
      <c r="L126" s="47">
        <f>L124-L125-L91-L96-L105</f>
        <v/>
      </c>
      <c r="M126" s="47">
        <f>M124-M125-M91-M96-M105</f>
        <v/>
      </c>
      <c r="N126" s="47">
        <f>N124-N125-N91-N96-N105</f>
        <v/>
      </c>
      <c r="O126" s="47">
        <f>O124-O125-O91-O96-O105</f>
        <v/>
      </c>
      <c r="P126" s="47">
        <f>P124-P125-P91-P96-P105</f>
        <v/>
      </c>
      <c r="Q126" s="47">
        <f>Q124-Q125-Q91-Q96-Q105</f>
        <v/>
      </c>
      <c r="R126" s="46">
        <f>SUM(C126:Q126)</f>
        <v/>
      </c>
    </row>
    <row r="127">
      <c r="A127" s="10" t="inlineStr">
        <is>
          <t>Operating break-even flag (1 = profit &gt;= 0 while selling)</t>
        </is>
      </c>
      <c r="C127" s="39">
        <f>IF(AND(C24=1,C126&gt;=0),1,0)</f>
        <v/>
      </c>
      <c r="D127" s="39">
        <f>IF(AND(D24=1,D126&gt;=0),1,0)</f>
        <v/>
      </c>
      <c r="E127" s="39">
        <f>IF(AND(E24=1,E126&gt;=0),1,0)</f>
        <v/>
      </c>
      <c r="F127" s="39">
        <f>IF(AND(F24=1,F126&gt;=0),1,0)</f>
        <v/>
      </c>
      <c r="G127" s="39">
        <f>IF(AND(G24=1,G126&gt;=0),1,0)</f>
        <v/>
      </c>
      <c r="H127" s="39">
        <f>IF(AND(H24=1,H126&gt;=0),1,0)</f>
        <v/>
      </c>
      <c r="I127" s="39">
        <f>IF(AND(I24=1,I126&gt;=0),1,0)</f>
        <v/>
      </c>
      <c r="J127" s="39">
        <f>IF(AND(J24=1,J126&gt;=0),1,0)</f>
        <v/>
      </c>
      <c r="K127" s="39">
        <f>IF(AND(K24=1,K126&gt;=0),1,0)</f>
        <v/>
      </c>
      <c r="L127" s="39">
        <f>IF(AND(L24=1,L126&gt;=0),1,0)</f>
        <v/>
      </c>
      <c r="M127" s="39">
        <f>IF(AND(M24=1,M126&gt;=0),1,0)</f>
        <v/>
      </c>
      <c r="N127" s="39">
        <f>IF(AND(N24=1,N126&gt;=0),1,0)</f>
        <v/>
      </c>
      <c r="O127" s="39">
        <f>IF(AND(O24=1,O126&gt;=0),1,0)</f>
        <v/>
      </c>
      <c r="P127" s="39">
        <f>IF(AND(P24=1,P126&gt;=0),1,0)</f>
        <v/>
      </c>
      <c r="Q127" s="39">
        <f>IF(AND(Q24=1,Q126&gt;=0),1,0)</f>
        <v/>
      </c>
    </row>
    <row r="128">
      <c r="A128" s="10" t="inlineStr">
        <is>
          <t>Cash payback flag (1 = cumulative net cash &gt;= 0 while selling)</t>
        </is>
      </c>
      <c r="C128" s="39">
        <f>IF(AND(C24=1,C119&gt;=0),1,0)</f>
        <v/>
      </c>
      <c r="D128" s="39">
        <f>IF(AND(D24=1,D119&gt;=0),1,0)</f>
        <v/>
      </c>
      <c r="E128" s="39">
        <f>IF(AND(E24=1,E119&gt;=0),1,0)</f>
        <v/>
      </c>
      <c r="F128" s="39">
        <f>IF(AND(F24=1,F119&gt;=0),1,0)</f>
        <v/>
      </c>
      <c r="G128" s="39">
        <f>IF(AND(G24=1,G119&gt;=0),1,0)</f>
        <v/>
      </c>
      <c r="H128" s="39">
        <f>IF(AND(H24=1,H119&gt;=0),1,0)</f>
        <v/>
      </c>
      <c r="I128" s="39">
        <f>IF(AND(I24=1,I119&gt;=0),1,0)</f>
        <v/>
      </c>
      <c r="J128" s="39">
        <f>IF(AND(J24=1,J119&gt;=0),1,0)</f>
        <v/>
      </c>
      <c r="K128" s="39">
        <f>IF(AND(K24=1,K119&gt;=0),1,0)</f>
        <v/>
      </c>
      <c r="L128" s="39">
        <f>IF(AND(L24=1,L119&gt;=0),1,0)</f>
        <v/>
      </c>
      <c r="M128" s="39">
        <f>IF(AND(M24=1,M119&gt;=0),1,0)</f>
        <v/>
      </c>
      <c r="N128" s="39">
        <f>IF(AND(N24=1,N119&gt;=0),1,0)</f>
        <v/>
      </c>
      <c r="O128" s="39">
        <f>IF(AND(O24=1,O119&gt;=0),1,0)</f>
        <v/>
      </c>
      <c r="P128" s="39">
        <f>IF(AND(P24=1,P119&gt;=0),1,0)</f>
        <v/>
      </c>
      <c r="Q128" s="39">
        <f>IF(AND(Q24=1,Q119&gt;=0),1,0)</f>
        <v/>
      </c>
    </row>
    <row r="129">
      <c r="A129" s="10" t="inlineStr">
        <is>
          <t>Closing inventory at cost</t>
        </is>
      </c>
      <c r="C129" s="45">
        <f>C55*$B$6+C66*$B$7</f>
        <v/>
      </c>
      <c r="D129" s="45">
        <f>D55*$B$6+D66*$B$7</f>
        <v/>
      </c>
      <c r="E129" s="45">
        <f>E55*$B$6+E66*$B$7</f>
        <v/>
      </c>
      <c r="F129" s="45">
        <f>F55*$B$6+F66*$B$7</f>
        <v/>
      </c>
      <c r="G129" s="45">
        <f>G55*$B$6+G66*$B$7</f>
        <v/>
      </c>
      <c r="H129" s="45">
        <f>H55*$B$6+H66*$B$7</f>
        <v/>
      </c>
      <c r="I129" s="45">
        <f>I55*$B$6+I66*$B$7</f>
        <v/>
      </c>
      <c r="J129" s="45">
        <f>J55*$B$6+J66*$B$7</f>
        <v/>
      </c>
      <c r="K129" s="45">
        <f>K55*$B$6+K66*$B$7</f>
        <v/>
      </c>
      <c r="L129" s="45">
        <f>L55*$B$6+L66*$B$7</f>
        <v/>
      </c>
      <c r="M129" s="45">
        <f>M55*$B$6+M66*$B$7</f>
        <v/>
      </c>
      <c r="N129" s="45">
        <f>N55*$B$6+N66*$B$7</f>
        <v/>
      </c>
      <c r="O129" s="45">
        <f>O55*$B$6+O66*$B$7</f>
        <v/>
      </c>
      <c r="P129" s="45">
        <f>P55*$B$6+P66*$B$7</f>
        <v/>
      </c>
      <c r="Q129" s="45">
        <f>Q55*$B$6+Q66*$B$7</f>
        <v/>
      </c>
    </row>
  </sheetData>
  <conditionalFormatting sqref="C120:Q120">
    <cfRule type="expression" priority="1" dxfId="0">
      <formula>C120=MIN($C$120:$Q$120)</formula>
    </cfRule>
  </conditionalFormatting>
  <conditionalFormatting sqref="C121:Q121">
    <cfRule type="expression" priority="2" dxfId="0">
      <formula>C121="LOWEST"</formula>
    </cfRule>
  </conditionalFormatting>
  <conditionalFormatting sqref="C118:Q118">
    <cfRule type="expression" priority="3" dxfId="1">
      <formula>C118&lt;0</formula>
    </cfRule>
  </conditionalFormatting>
  <conditionalFormatting sqref="C54:Q54">
    <cfRule type="expression" priority="4" dxfId="2">
      <formula>C54&gt;0</formula>
    </cfRule>
  </conditionalFormatting>
  <conditionalFormatting sqref="C65:Q65">
    <cfRule type="expression" priority="5" dxfId="2">
      <formula>C65&gt;0</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29"/>
  <sheetViews>
    <sheetView tabSelected="0" workbookViewId="0">
      <pane xSplit="2" ySplit="23" topLeftCell="C24" activePane="bottomRight" state="frozen"/>
      <selection pane="topRight"/>
      <selection pane="bottomLeft"/>
      <selection pane="bottomRight" activeCell="A1" sqref="A1"/>
    </sheetView>
  </sheetViews>
  <sheetFormatPr baseColWidth="8" defaultRowHeight="15"/>
  <cols>
    <col width="58" customWidth="1" min="1" max="1"/>
    <col width="16"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3" customWidth="1" min="18" max="18"/>
  </cols>
  <sheetData>
    <row r="1">
      <c r="A1" s="5" t="inlineStr">
        <is>
          <t>Calculation copy: Lean runs, High demand (feeds Scenarios; do not edit)</t>
        </is>
      </c>
    </row>
    <row r="2">
      <c r="A2" s="6" t="inlineStr">
        <is>
          <t>Months Oct 2026 to Dec 2027. All figures are projections from the Inputs sheet, not actual results. Cash view: inventory is a cash outflow when bought; COGS appears only in the operating view at the bottom.</t>
        </is>
      </c>
    </row>
    <row r="3">
      <c r="A3" s="10" t="inlineStr">
        <is>
          <t>Run-size mode</t>
        </is>
      </c>
      <c r="B3" s="30">
        <f>"Lean"</f>
        <v/>
      </c>
    </row>
    <row r="4">
      <c r="A4" s="10" t="inlineStr">
        <is>
          <t>Demand multiplier</t>
        </is>
      </c>
      <c r="B4" s="31">
        <f>in_MultHigh</f>
        <v/>
      </c>
    </row>
    <row r="5">
      <c r="A5" s="10" t="inlineStr">
        <is>
          <t>Demand case</t>
        </is>
      </c>
      <c r="B5" s="30">
        <f>"High"</f>
        <v/>
      </c>
    </row>
    <row r="6">
      <c r="A6" s="10" t="inlineStr">
        <is>
          <t>Pouch cost of goods (by mode)</t>
        </is>
      </c>
      <c r="B6" s="32">
        <f>IF($B$3="Lean",in_CogsLean,in_CogsStd)</f>
        <v/>
      </c>
    </row>
    <row r="7">
      <c r="A7" s="10" t="inlineStr">
        <is>
          <t>Stick cost of goods (by mode)</t>
        </is>
      </c>
      <c r="B7" s="32">
        <f>IF($B$3="Lean",in_StickCogsLean,in_StickCogsStd)</f>
        <v/>
      </c>
    </row>
    <row r="8">
      <c r="A8" s="10" t="inlineStr">
        <is>
          <t>Pouch run size (by mode)</t>
        </is>
      </c>
      <c r="B8" s="33">
        <f>IF($B$3="Lean",in_RunLean,in_RunStd)</f>
        <v/>
      </c>
    </row>
    <row r="9">
      <c r="A9" s="10" t="inlineStr">
        <is>
          <t>Stick run size (by mode)</t>
        </is>
      </c>
      <c r="B9" s="33">
        <f>IF($B$3="Lean",in_StickRunLean,in_StickRunStd)</f>
        <v/>
      </c>
    </row>
    <row r="10">
      <c r="A10" s="10" t="inlineStr">
        <is>
          <t>Sample credit on first order (by mode)</t>
        </is>
      </c>
      <c r="B10" s="34">
        <f>IF($B$3="Lean",in_SampleCreditLean,in_SampleCreditStd)</f>
        <v/>
      </c>
    </row>
    <row r="12">
      <c r="A12" s="7" t="inlineStr">
        <is>
          <t>Summary for this sheet's mode and case</t>
        </is>
      </c>
      <c r="B12" s="8" t="n"/>
    </row>
    <row r="13">
      <c r="A13" s="10" t="inlineStr">
        <is>
          <t>Lowest cash balance</t>
        </is>
      </c>
      <c r="B13" s="35">
        <f>MIN($C$120:$Q$120)</f>
        <v/>
      </c>
    </row>
    <row r="14">
      <c r="A14" s="10" t="inlineStr">
        <is>
          <t>Month of lowest cash balance</t>
        </is>
      </c>
      <c r="B14" s="36">
        <f>INDEX($C$23:$Q$23,MATCH(MIN($C$120:$Q$120),$C$120:$Q$120,0))</f>
        <v/>
      </c>
    </row>
    <row r="15">
      <c r="A15" s="10" t="inlineStr">
        <is>
          <t>Peak funding need (lowest cumulative net cash flow)</t>
        </is>
      </c>
      <c r="B15" s="35">
        <f>MIN(0,MIN($C$119:$Q$119))</f>
        <v/>
      </c>
    </row>
    <row r="16">
      <c r="A16" s="10" t="inlineStr">
        <is>
          <t>Operating break-even month (first month operating profit &gt;= 0)</t>
        </is>
      </c>
      <c r="B16" s="36">
        <f>IFERROR(INDEX($C$23:$Q$23,MATCH(1,$C$127:$Q$127,0)),"Not by Dec 2027")</f>
        <v/>
      </c>
    </row>
    <row r="17">
      <c r="A17" s="10" t="inlineStr">
        <is>
          <t>Cash payback month (cumulative net cash flow back to &gt;= 0)</t>
        </is>
      </c>
      <c r="B17" s="36">
        <f>IFERROR(INDEX($C$23:$Q$23,MATCH(1,$C$128:$Q$128,0)),"Not by Dec 2027")</f>
        <v/>
      </c>
    </row>
    <row r="18">
      <c r="A18" s="10" t="inlineStr">
        <is>
          <t>Cash balance, end of Jun 2027</t>
        </is>
      </c>
      <c r="B18" s="35">
        <f>IFERROR(INDEX($C$120:$Q$120,MATCH(DATE(2027,6,1),$C$23:$Q$23,0)),"n/a")</f>
        <v/>
      </c>
    </row>
    <row r="19">
      <c r="A19" s="10" t="inlineStr">
        <is>
          <t>Cash balance, end of Dec 2027</t>
        </is>
      </c>
      <c r="B19" s="35">
        <f>IFERROR(INDEX($C$120:$Q$120,MATCH(DATE(2027,12,1),$C$23:$Q$23,0)),"n/a")</f>
        <v/>
      </c>
    </row>
    <row r="20">
      <c r="A20" s="10" t="inlineStr">
        <is>
          <t>Stockout check (pouch + stick units short; should be 0)</t>
        </is>
      </c>
      <c r="B20" s="37">
        <f>SUM($C$54:$Q$54)+SUM($C$65:$Q$65)</f>
        <v/>
      </c>
    </row>
    <row r="21">
      <c r="A21" s="10" t="inlineStr">
        <is>
          <t>Operating profit, Oct 2026 to Dec 2027 (launch costs excluded)</t>
        </is>
      </c>
      <c r="B21" s="35">
        <f>SUM($C$126:$Q$126)</f>
        <v/>
      </c>
    </row>
    <row r="23">
      <c r="A23" s="9" t="inlineStr">
        <is>
          <t>Line</t>
        </is>
      </c>
      <c r="B23" s="9" t="inlineStr">
        <is>
          <t>Note</t>
        </is>
      </c>
      <c r="C23" s="38">
        <f>DATE(YEAR(in_ModelStart),MONTH(in_ModelStart),1)</f>
        <v/>
      </c>
      <c r="D23" s="38">
        <f>EDATE(C23,1)</f>
        <v/>
      </c>
      <c r="E23" s="38">
        <f>EDATE(D23,1)</f>
        <v/>
      </c>
      <c r="F23" s="38">
        <f>EDATE(E23,1)</f>
        <v/>
      </c>
      <c r="G23" s="38">
        <f>EDATE(F23,1)</f>
        <v/>
      </c>
      <c r="H23" s="38">
        <f>EDATE(G23,1)</f>
        <v/>
      </c>
      <c r="I23" s="38">
        <f>EDATE(H23,1)</f>
        <v/>
      </c>
      <c r="J23" s="38">
        <f>EDATE(I23,1)</f>
        <v/>
      </c>
      <c r="K23" s="38">
        <f>EDATE(J23,1)</f>
        <v/>
      </c>
      <c r="L23" s="38">
        <f>EDATE(K23,1)</f>
        <v/>
      </c>
      <c r="M23" s="38">
        <f>EDATE(L23,1)</f>
        <v/>
      </c>
      <c r="N23" s="38">
        <f>EDATE(M23,1)</f>
        <v/>
      </c>
      <c r="O23" s="38">
        <f>EDATE(N23,1)</f>
        <v/>
      </c>
      <c r="P23" s="38">
        <f>EDATE(O23,1)</f>
        <v/>
      </c>
      <c r="Q23" s="38">
        <f>EDATE(P23,1)</f>
        <v/>
      </c>
      <c r="R23" s="9" t="inlineStr">
        <is>
          <t>Total</t>
        </is>
      </c>
    </row>
    <row r="24">
      <c r="A24" s="10" t="inlineStr">
        <is>
          <t>Selling? (1 from the first ship month)</t>
        </is>
      </c>
      <c r="C24" s="39">
        <f>IF(C$23&gt;=DATE(YEAR(in_FirstShip),MONTH(in_FirstShip),1),1,0)</f>
        <v/>
      </c>
      <c r="D24" s="39">
        <f>IF(D$23&gt;=DATE(YEAR(in_FirstShip),MONTH(in_FirstShip),1),1,0)</f>
        <v/>
      </c>
      <c r="E24" s="39">
        <f>IF(E$23&gt;=DATE(YEAR(in_FirstShip),MONTH(in_FirstShip),1),1,0)</f>
        <v/>
      </c>
      <c r="F24" s="39">
        <f>IF(F$23&gt;=DATE(YEAR(in_FirstShip),MONTH(in_FirstShip),1),1,0)</f>
        <v/>
      </c>
      <c r="G24" s="39">
        <f>IF(G$23&gt;=DATE(YEAR(in_FirstShip),MONTH(in_FirstShip),1),1,0)</f>
        <v/>
      </c>
      <c r="H24" s="39">
        <f>IF(H$23&gt;=DATE(YEAR(in_FirstShip),MONTH(in_FirstShip),1),1,0)</f>
        <v/>
      </c>
      <c r="I24" s="39">
        <f>IF(I$23&gt;=DATE(YEAR(in_FirstShip),MONTH(in_FirstShip),1),1,0)</f>
        <v/>
      </c>
      <c r="J24" s="39">
        <f>IF(J$23&gt;=DATE(YEAR(in_FirstShip),MONTH(in_FirstShip),1),1,0)</f>
        <v/>
      </c>
      <c r="K24" s="39">
        <f>IF(K$23&gt;=DATE(YEAR(in_FirstShip),MONTH(in_FirstShip),1),1,0)</f>
        <v/>
      </c>
      <c r="L24" s="39">
        <f>IF(L$23&gt;=DATE(YEAR(in_FirstShip),MONTH(in_FirstShip),1),1,0)</f>
        <v/>
      </c>
      <c r="M24" s="39">
        <f>IF(M$23&gt;=DATE(YEAR(in_FirstShip),MONTH(in_FirstShip),1),1,0)</f>
        <v/>
      </c>
      <c r="N24" s="39">
        <f>IF(N$23&gt;=DATE(YEAR(in_FirstShip),MONTH(in_FirstShip),1),1,0)</f>
        <v/>
      </c>
      <c r="O24" s="39">
        <f>IF(O$23&gt;=DATE(YEAR(in_FirstShip),MONTH(in_FirstShip),1),1,0)</f>
        <v/>
      </c>
      <c r="P24" s="39">
        <f>IF(P$23&gt;=DATE(YEAR(in_FirstShip),MONTH(in_FirstShip),1),1,0)</f>
        <v/>
      </c>
      <c r="Q24" s="39">
        <f>IF(Q$23&gt;=DATE(YEAR(in_FirstShip),MONTH(in_FirstShip),1),1,0)</f>
        <v/>
      </c>
    </row>
    <row r="26">
      <c r="A26" s="7" t="inlineStr">
        <is>
          <t>DTC customers and orders</t>
        </is>
      </c>
      <c r="B26" s="8" t="n"/>
      <c r="C26" s="8" t="n"/>
      <c r="D26" s="8" t="n"/>
      <c r="E26" s="8" t="n"/>
      <c r="F26" s="8" t="n"/>
      <c r="G26" s="8" t="n"/>
      <c r="H26" s="8" t="n"/>
      <c r="I26" s="8" t="n"/>
      <c r="J26" s="8" t="n"/>
      <c r="K26" s="8" t="n"/>
      <c r="L26" s="8" t="n"/>
      <c r="M26" s="8" t="n"/>
      <c r="N26" s="8" t="n"/>
      <c r="O26" s="8" t="n"/>
      <c r="P26" s="8" t="n"/>
      <c r="Q26" s="8" t="n"/>
      <c r="R26" s="8" t="n"/>
    </row>
    <row r="27">
      <c r="A27" s="10" t="inlineStr">
        <is>
          <t>Waitlist first orders (first ship month only)</t>
        </is>
      </c>
      <c r="B27" s="6" t="inlineStr">
        <is>
          <t>Waitlist x conversion</t>
        </is>
      </c>
      <c r="C27" s="40">
        <f>IF(EOMONTH(in_FirstShip,0)=EOMONTH(C$23,0),in_WaitSize*in_WaitConv*$B$4,0)</f>
        <v/>
      </c>
      <c r="D27" s="40">
        <f>IF(EOMONTH(in_FirstShip,0)=EOMONTH(D$23,0),in_WaitSize*in_WaitConv*$B$4,0)</f>
        <v/>
      </c>
      <c r="E27" s="40">
        <f>IF(EOMONTH(in_FirstShip,0)=EOMONTH(E$23,0),in_WaitSize*in_WaitConv*$B$4,0)</f>
        <v/>
      </c>
      <c r="F27" s="40">
        <f>IF(EOMONTH(in_FirstShip,0)=EOMONTH(F$23,0),in_WaitSize*in_WaitConv*$B$4,0)</f>
        <v/>
      </c>
      <c r="G27" s="40">
        <f>IF(EOMONTH(in_FirstShip,0)=EOMONTH(G$23,0),in_WaitSize*in_WaitConv*$B$4,0)</f>
        <v/>
      </c>
      <c r="H27" s="40">
        <f>IF(EOMONTH(in_FirstShip,0)=EOMONTH(H$23,0),in_WaitSize*in_WaitConv*$B$4,0)</f>
        <v/>
      </c>
      <c r="I27" s="40">
        <f>IF(EOMONTH(in_FirstShip,0)=EOMONTH(I$23,0),in_WaitSize*in_WaitConv*$B$4,0)</f>
        <v/>
      </c>
      <c r="J27" s="40">
        <f>IF(EOMONTH(in_FirstShip,0)=EOMONTH(J$23,0),in_WaitSize*in_WaitConv*$B$4,0)</f>
        <v/>
      </c>
      <c r="K27" s="40">
        <f>IF(EOMONTH(in_FirstShip,0)=EOMONTH(K$23,0),in_WaitSize*in_WaitConv*$B$4,0)</f>
        <v/>
      </c>
      <c r="L27" s="40">
        <f>IF(EOMONTH(in_FirstShip,0)=EOMONTH(L$23,0),in_WaitSize*in_WaitConv*$B$4,0)</f>
        <v/>
      </c>
      <c r="M27" s="40">
        <f>IF(EOMONTH(in_FirstShip,0)=EOMONTH(M$23,0),in_WaitSize*in_WaitConv*$B$4,0)</f>
        <v/>
      </c>
      <c r="N27" s="40">
        <f>IF(EOMONTH(in_FirstShip,0)=EOMONTH(N$23,0),in_WaitSize*in_WaitConv*$B$4,0)</f>
        <v/>
      </c>
      <c r="O27" s="40">
        <f>IF(EOMONTH(in_FirstShip,0)=EOMONTH(O$23,0),in_WaitSize*in_WaitConv*$B$4,0)</f>
        <v/>
      </c>
      <c r="P27" s="40">
        <f>IF(EOMONTH(in_FirstShip,0)=EOMONTH(P$23,0),in_WaitSize*in_WaitConv*$B$4,0)</f>
        <v/>
      </c>
      <c r="Q27" s="40">
        <f>IF(EOMONTH(in_FirstShip,0)=EOMONTH(Q$23,0),in_WaitSize*in_WaitConv*$B$4,0)</f>
        <v/>
      </c>
      <c r="R27" s="41">
        <f>SUM(C27:Q27)</f>
        <v/>
      </c>
    </row>
    <row r="28">
      <c r="A28" s="10" t="inlineStr">
        <is>
          <t>Organic new customers</t>
        </is>
      </c>
      <c r="C28" s="40">
        <f>IFERROR(INDEX(Inputs!$B$98:$B$107,MATCH(C$23,Inputs!$A$98:$A$107,0)),0)*$B$4*C24</f>
        <v/>
      </c>
      <c r="D28" s="40">
        <f>IFERROR(INDEX(Inputs!$B$98:$B$107,MATCH(D$23,Inputs!$A$98:$A$107,0)),0)*$B$4*D24</f>
        <v/>
      </c>
      <c r="E28" s="40">
        <f>IFERROR(INDEX(Inputs!$B$98:$B$107,MATCH(E$23,Inputs!$A$98:$A$107,0)),0)*$B$4*E24</f>
        <v/>
      </c>
      <c r="F28" s="40">
        <f>IFERROR(INDEX(Inputs!$B$98:$B$107,MATCH(F$23,Inputs!$A$98:$A$107,0)),0)*$B$4*F24</f>
        <v/>
      </c>
      <c r="G28" s="40">
        <f>IFERROR(INDEX(Inputs!$B$98:$B$107,MATCH(G$23,Inputs!$A$98:$A$107,0)),0)*$B$4*G24</f>
        <v/>
      </c>
      <c r="H28" s="40">
        <f>IFERROR(INDEX(Inputs!$B$98:$B$107,MATCH(H$23,Inputs!$A$98:$A$107,0)),0)*$B$4*H24</f>
        <v/>
      </c>
      <c r="I28" s="40">
        <f>IFERROR(INDEX(Inputs!$B$98:$B$107,MATCH(I$23,Inputs!$A$98:$A$107,0)),0)*$B$4*I24</f>
        <v/>
      </c>
      <c r="J28" s="40">
        <f>IFERROR(INDEX(Inputs!$B$98:$B$107,MATCH(J$23,Inputs!$A$98:$A$107,0)),0)*$B$4*J24</f>
        <v/>
      </c>
      <c r="K28" s="40">
        <f>IFERROR(INDEX(Inputs!$B$98:$B$107,MATCH(K$23,Inputs!$A$98:$A$107,0)),0)*$B$4*K24</f>
        <v/>
      </c>
      <c r="L28" s="40">
        <f>IFERROR(INDEX(Inputs!$B$98:$B$107,MATCH(L$23,Inputs!$A$98:$A$107,0)),0)*$B$4*L24</f>
        <v/>
      </c>
      <c r="M28" s="40">
        <f>IFERROR(INDEX(Inputs!$B$98:$B$107,MATCH(M$23,Inputs!$A$98:$A$107,0)),0)*$B$4*M24</f>
        <v/>
      </c>
      <c r="N28" s="40">
        <f>IFERROR(INDEX(Inputs!$B$98:$B$107,MATCH(N$23,Inputs!$A$98:$A$107,0)),0)*$B$4*N24</f>
        <v/>
      </c>
      <c r="O28" s="40">
        <f>IFERROR(INDEX(Inputs!$B$98:$B$107,MATCH(O$23,Inputs!$A$98:$A$107,0)),0)*$B$4*O24</f>
        <v/>
      </c>
      <c r="P28" s="40">
        <f>IFERROR(INDEX(Inputs!$B$98:$B$107,MATCH(P$23,Inputs!$A$98:$A$107,0)),0)*$B$4*P24</f>
        <v/>
      </c>
      <c r="Q28" s="40">
        <f>IFERROR(INDEX(Inputs!$B$98:$B$107,MATCH(Q$23,Inputs!$A$98:$A$107,0)),0)*$B$4*Q24</f>
        <v/>
      </c>
      <c r="R28" s="41">
        <f>SUM(C28:Q28)</f>
        <v/>
      </c>
    </row>
    <row r="29">
      <c r="A29" s="10" t="inlineStr">
        <is>
          <t>Paid new customers</t>
        </is>
      </c>
      <c r="C29" s="40">
        <f>IFERROR(INDEX(Inputs!$C$98:$C$107,MATCH(C$23,Inputs!$A$98:$A$107,0)),0)*$B$4*C24</f>
        <v/>
      </c>
      <c r="D29" s="40">
        <f>IFERROR(INDEX(Inputs!$C$98:$C$107,MATCH(D$23,Inputs!$A$98:$A$107,0)),0)*$B$4*D24</f>
        <v/>
      </c>
      <c r="E29" s="40">
        <f>IFERROR(INDEX(Inputs!$C$98:$C$107,MATCH(E$23,Inputs!$A$98:$A$107,0)),0)*$B$4*E24</f>
        <v/>
      </c>
      <c r="F29" s="40">
        <f>IFERROR(INDEX(Inputs!$C$98:$C$107,MATCH(F$23,Inputs!$A$98:$A$107,0)),0)*$B$4*F24</f>
        <v/>
      </c>
      <c r="G29" s="40">
        <f>IFERROR(INDEX(Inputs!$C$98:$C$107,MATCH(G$23,Inputs!$A$98:$A$107,0)),0)*$B$4*G24</f>
        <v/>
      </c>
      <c r="H29" s="40">
        <f>IFERROR(INDEX(Inputs!$C$98:$C$107,MATCH(H$23,Inputs!$A$98:$A$107,0)),0)*$B$4*H24</f>
        <v/>
      </c>
      <c r="I29" s="40">
        <f>IFERROR(INDEX(Inputs!$C$98:$C$107,MATCH(I$23,Inputs!$A$98:$A$107,0)),0)*$B$4*I24</f>
        <v/>
      </c>
      <c r="J29" s="40">
        <f>IFERROR(INDEX(Inputs!$C$98:$C$107,MATCH(J$23,Inputs!$A$98:$A$107,0)),0)*$B$4*J24</f>
        <v/>
      </c>
      <c r="K29" s="40">
        <f>IFERROR(INDEX(Inputs!$C$98:$C$107,MATCH(K$23,Inputs!$A$98:$A$107,0)),0)*$B$4*K24</f>
        <v/>
      </c>
      <c r="L29" s="40">
        <f>IFERROR(INDEX(Inputs!$C$98:$C$107,MATCH(L$23,Inputs!$A$98:$A$107,0)),0)*$B$4*L24</f>
        <v/>
      </c>
      <c r="M29" s="40">
        <f>IFERROR(INDEX(Inputs!$C$98:$C$107,MATCH(M$23,Inputs!$A$98:$A$107,0)),0)*$B$4*M24</f>
        <v/>
      </c>
      <c r="N29" s="40">
        <f>IFERROR(INDEX(Inputs!$C$98:$C$107,MATCH(N$23,Inputs!$A$98:$A$107,0)),0)*$B$4*N24</f>
        <v/>
      </c>
      <c r="O29" s="40">
        <f>IFERROR(INDEX(Inputs!$C$98:$C$107,MATCH(O$23,Inputs!$A$98:$A$107,0)),0)*$B$4*O24</f>
        <v/>
      </c>
      <c r="P29" s="40">
        <f>IFERROR(INDEX(Inputs!$C$98:$C$107,MATCH(P$23,Inputs!$A$98:$A$107,0)),0)*$B$4*P24</f>
        <v/>
      </c>
      <c r="Q29" s="40">
        <f>IFERROR(INDEX(Inputs!$C$98:$C$107,MATCH(Q$23,Inputs!$A$98:$A$107,0)),0)*$B$4*Q24</f>
        <v/>
      </c>
      <c r="R29" s="41">
        <f>SUM(C29:Q29)</f>
        <v/>
      </c>
    </row>
    <row r="30">
      <c r="A30" s="26" t="inlineStr">
        <is>
          <t>Total new DTC customers</t>
        </is>
      </c>
      <c r="C30" s="42">
        <f>C27+C28+C29</f>
        <v/>
      </c>
      <c r="D30" s="42">
        <f>D27+D28+D29</f>
        <v/>
      </c>
      <c r="E30" s="42">
        <f>E27+E28+E29</f>
        <v/>
      </c>
      <c r="F30" s="42">
        <f>F27+F28+F29</f>
        <v/>
      </c>
      <c r="G30" s="42">
        <f>G27+G28+G29</f>
        <v/>
      </c>
      <c r="H30" s="42">
        <f>H27+H28+H29</f>
        <v/>
      </c>
      <c r="I30" s="42">
        <f>I27+I28+I29</f>
        <v/>
      </c>
      <c r="J30" s="42">
        <f>J27+J28+J29</f>
        <v/>
      </c>
      <c r="K30" s="42">
        <f>K27+K28+K29</f>
        <v/>
      </c>
      <c r="L30" s="42">
        <f>L27+L28+L29</f>
        <v/>
      </c>
      <c r="M30" s="42">
        <f>M27+M28+M29</f>
        <v/>
      </c>
      <c r="N30" s="42">
        <f>N27+N28+N29</f>
        <v/>
      </c>
      <c r="O30" s="42">
        <f>O27+O28+O29</f>
        <v/>
      </c>
      <c r="P30" s="42">
        <f>P27+P28+P29</f>
        <v/>
      </c>
      <c r="Q30" s="42">
        <f>Q27+Q28+Q29</f>
        <v/>
      </c>
      <c r="R30" s="41">
        <f>SUM(C30:Q30)</f>
        <v/>
      </c>
    </row>
    <row r="31">
      <c r="A31" s="10" t="inlineStr">
        <is>
          <t>New subscribers</t>
        </is>
      </c>
      <c r="C31" s="40">
        <f>C30*in_SubShare</f>
        <v/>
      </c>
      <c r="D31" s="40">
        <f>D30*in_SubShare</f>
        <v/>
      </c>
      <c r="E31" s="40">
        <f>E30*in_SubShare</f>
        <v/>
      </c>
      <c r="F31" s="40">
        <f>F30*in_SubShare</f>
        <v/>
      </c>
      <c r="G31" s="40">
        <f>G30*in_SubShare</f>
        <v/>
      </c>
      <c r="H31" s="40">
        <f>H30*in_SubShare</f>
        <v/>
      </c>
      <c r="I31" s="40">
        <f>I30*in_SubShare</f>
        <v/>
      </c>
      <c r="J31" s="40">
        <f>J30*in_SubShare</f>
        <v/>
      </c>
      <c r="K31" s="40">
        <f>K30*in_SubShare</f>
        <v/>
      </c>
      <c r="L31" s="40">
        <f>L30*in_SubShare</f>
        <v/>
      </c>
      <c r="M31" s="40">
        <f>M30*in_SubShare</f>
        <v/>
      </c>
      <c r="N31" s="40">
        <f>N30*in_SubShare</f>
        <v/>
      </c>
      <c r="O31" s="40">
        <f>O30*in_SubShare</f>
        <v/>
      </c>
      <c r="P31" s="40">
        <f>P30*in_SubShare</f>
        <v/>
      </c>
      <c r="Q31" s="40">
        <f>Q30*in_SubShare</f>
        <v/>
      </c>
      <c r="R31" s="41">
        <f>SUM(C31:Q31)</f>
        <v/>
      </c>
    </row>
    <row r="32">
      <c r="A32" s="10" t="inlineStr">
        <is>
          <t>Active subscribers, end of month (= subscription orders)</t>
        </is>
      </c>
      <c r="B32" s="6" t="inlineStr">
        <is>
          <t>1 pouch/month each</t>
        </is>
      </c>
      <c r="C32" s="40">
        <f>C31</f>
        <v/>
      </c>
      <c r="D32" s="40">
        <f>C32*(1-in_SubChurn)+D31</f>
        <v/>
      </c>
      <c r="E32" s="40">
        <f>D32*(1-in_SubChurn)+E31</f>
        <v/>
      </c>
      <c r="F32" s="40">
        <f>E32*(1-in_SubChurn)+F31</f>
        <v/>
      </c>
      <c r="G32" s="40">
        <f>F32*(1-in_SubChurn)+G31</f>
        <v/>
      </c>
      <c r="H32" s="40">
        <f>G32*(1-in_SubChurn)+H31</f>
        <v/>
      </c>
      <c r="I32" s="40">
        <f>H32*(1-in_SubChurn)+I31</f>
        <v/>
      </c>
      <c r="J32" s="40">
        <f>I32*(1-in_SubChurn)+J31</f>
        <v/>
      </c>
      <c r="K32" s="40">
        <f>J32*(1-in_SubChurn)+K31</f>
        <v/>
      </c>
      <c r="L32" s="40">
        <f>K32*(1-in_SubChurn)+L31</f>
        <v/>
      </c>
      <c r="M32" s="40">
        <f>L32*(1-in_SubChurn)+M31</f>
        <v/>
      </c>
      <c r="N32" s="40">
        <f>M32*(1-in_SubChurn)+N31</f>
        <v/>
      </c>
      <c r="O32" s="40">
        <f>N32*(1-in_SubChurn)+O31</f>
        <v/>
      </c>
      <c r="P32" s="40">
        <f>O32*(1-in_SubChurn)+P31</f>
        <v/>
      </c>
      <c r="Q32" s="40">
        <f>P32*(1-in_SubChurn)+Q31</f>
        <v/>
      </c>
    </row>
    <row r="33">
      <c r="A33" s="10" t="inlineStr">
        <is>
          <t>One-off first orders</t>
        </is>
      </c>
      <c r="C33" s="40">
        <f>C30*(1-in_SubShare)</f>
        <v/>
      </c>
      <c r="D33" s="40">
        <f>D30*(1-in_SubShare)</f>
        <v/>
      </c>
      <c r="E33" s="40">
        <f>E30*(1-in_SubShare)</f>
        <v/>
      </c>
      <c r="F33" s="40">
        <f>F30*(1-in_SubShare)</f>
        <v/>
      </c>
      <c r="G33" s="40">
        <f>G30*(1-in_SubShare)</f>
        <v/>
      </c>
      <c r="H33" s="40">
        <f>H30*(1-in_SubShare)</f>
        <v/>
      </c>
      <c r="I33" s="40">
        <f>I30*(1-in_SubShare)</f>
        <v/>
      </c>
      <c r="J33" s="40">
        <f>J30*(1-in_SubShare)</f>
        <v/>
      </c>
      <c r="K33" s="40">
        <f>K30*(1-in_SubShare)</f>
        <v/>
      </c>
      <c r="L33" s="40">
        <f>L30*(1-in_SubShare)</f>
        <v/>
      </c>
      <c r="M33" s="40">
        <f>M30*(1-in_SubShare)</f>
        <v/>
      </c>
      <c r="N33" s="40">
        <f>N30*(1-in_SubShare)</f>
        <v/>
      </c>
      <c r="O33" s="40">
        <f>O30*(1-in_SubShare)</f>
        <v/>
      </c>
      <c r="P33" s="40">
        <f>P30*(1-in_SubShare)</f>
        <v/>
      </c>
      <c r="Q33" s="40">
        <f>Q30*(1-in_SubShare)</f>
        <v/>
      </c>
      <c r="R33" s="41">
        <f>SUM(C33:Q33)</f>
        <v/>
      </c>
    </row>
    <row r="34">
      <c r="A34" s="10" t="inlineStr">
        <is>
          <t>One-off repeat orders</t>
        </is>
      </c>
      <c r="C34" s="40">
        <f>0</f>
        <v/>
      </c>
      <c r="D34" s="40">
        <f>C35*in_Repeat</f>
        <v/>
      </c>
      <c r="E34" s="40">
        <f>D35*in_Repeat</f>
        <v/>
      </c>
      <c r="F34" s="40">
        <f>E35*in_Repeat</f>
        <v/>
      </c>
      <c r="G34" s="40">
        <f>F35*in_Repeat</f>
        <v/>
      </c>
      <c r="H34" s="40">
        <f>G35*in_Repeat</f>
        <v/>
      </c>
      <c r="I34" s="40">
        <f>H35*in_Repeat</f>
        <v/>
      </c>
      <c r="J34" s="40">
        <f>I35*in_Repeat</f>
        <v/>
      </c>
      <c r="K34" s="40">
        <f>J35*in_Repeat</f>
        <v/>
      </c>
      <c r="L34" s="40">
        <f>K35*in_Repeat</f>
        <v/>
      </c>
      <c r="M34" s="40">
        <f>L35*in_Repeat</f>
        <v/>
      </c>
      <c r="N34" s="40">
        <f>M35*in_Repeat</f>
        <v/>
      </c>
      <c r="O34" s="40">
        <f>N35*in_Repeat</f>
        <v/>
      </c>
      <c r="P34" s="40">
        <f>O35*in_Repeat</f>
        <v/>
      </c>
      <c r="Q34" s="40">
        <f>P35*in_Repeat</f>
        <v/>
      </c>
      <c r="R34" s="41">
        <f>SUM(C34:Q34)</f>
        <v/>
      </c>
    </row>
    <row r="35">
      <c r="A35" s="26" t="inlineStr">
        <is>
          <t>Total one-off pouch orders</t>
        </is>
      </c>
      <c r="C35" s="42">
        <f>C33+C34</f>
        <v/>
      </c>
      <c r="D35" s="42">
        <f>D33+D34</f>
        <v/>
      </c>
      <c r="E35" s="42">
        <f>E33+E34</f>
        <v/>
      </c>
      <c r="F35" s="42">
        <f>F33+F34</f>
        <v/>
      </c>
      <c r="G35" s="42">
        <f>G33+G34</f>
        <v/>
      </c>
      <c r="H35" s="42">
        <f>H33+H34</f>
        <v/>
      </c>
      <c r="I35" s="42">
        <f>I33+I34</f>
        <v/>
      </c>
      <c r="J35" s="42">
        <f>J33+J34</f>
        <v/>
      </c>
      <c r="K35" s="42">
        <f>K33+K34</f>
        <v/>
      </c>
      <c r="L35" s="42">
        <f>L33+L34</f>
        <v/>
      </c>
      <c r="M35" s="42">
        <f>M33+M34</f>
        <v/>
      </c>
      <c r="N35" s="42">
        <f>N33+N34</f>
        <v/>
      </c>
      <c r="O35" s="42">
        <f>O33+O34</f>
        <v/>
      </c>
      <c r="P35" s="42">
        <f>P33+P34</f>
        <v/>
      </c>
      <c r="Q35" s="42">
        <f>Q33+Q34</f>
        <v/>
      </c>
      <c r="R35" s="41">
        <f>SUM(C35:Q35)</f>
        <v/>
      </c>
    </row>
    <row r="36">
      <c r="A36" s="26" t="inlineStr">
        <is>
          <t>Total DTC pouch orders (one-off + subscription)</t>
        </is>
      </c>
      <c r="C36" s="42">
        <f>C35+C32</f>
        <v/>
      </c>
      <c r="D36" s="42">
        <f>D35+D32</f>
        <v/>
      </c>
      <c r="E36" s="42">
        <f>E35+E32</f>
        <v/>
      </c>
      <c r="F36" s="42">
        <f>F35+F32</f>
        <v/>
      </c>
      <c r="G36" s="42">
        <f>G35+G32</f>
        <v/>
      </c>
      <c r="H36" s="42">
        <f>H35+H32</f>
        <v/>
      </c>
      <c r="I36" s="42">
        <f>I35+I32</f>
        <v/>
      </c>
      <c r="J36" s="42">
        <f>J35+J32</f>
        <v/>
      </c>
      <c r="K36" s="42">
        <f>K35+K32</f>
        <v/>
      </c>
      <c r="L36" s="42">
        <f>L35+L32</f>
        <v/>
      </c>
      <c r="M36" s="42">
        <f>M35+M32</f>
        <v/>
      </c>
      <c r="N36" s="42">
        <f>N35+N32</f>
        <v/>
      </c>
      <c r="O36" s="42">
        <f>O35+O32</f>
        <v/>
      </c>
      <c r="P36" s="42">
        <f>P35+P32</f>
        <v/>
      </c>
      <c r="Q36" s="42">
        <f>Q35+Q32</f>
        <v/>
      </c>
      <c r="R36" s="41">
        <f>SUM(C36:Q36)</f>
        <v/>
      </c>
    </row>
    <row r="37">
      <c r="A37" s="10" t="inlineStr">
        <is>
          <t>DTC stick-box orders</t>
        </is>
      </c>
      <c r="C37" s="40">
        <f>C36*in_StickAttach</f>
        <v/>
      </c>
      <c r="D37" s="40">
        <f>D36*in_StickAttach</f>
        <v/>
      </c>
      <c r="E37" s="40">
        <f>E36*in_StickAttach</f>
        <v/>
      </c>
      <c r="F37" s="40">
        <f>F36*in_StickAttach</f>
        <v/>
      </c>
      <c r="G37" s="40">
        <f>G36*in_StickAttach</f>
        <v/>
      </c>
      <c r="H37" s="40">
        <f>H36*in_StickAttach</f>
        <v/>
      </c>
      <c r="I37" s="40">
        <f>I36*in_StickAttach</f>
        <v/>
      </c>
      <c r="J37" s="40">
        <f>J36*in_StickAttach</f>
        <v/>
      </c>
      <c r="K37" s="40">
        <f>K36*in_StickAttach</f>
        <v/>
      </c>
      <c r="L37" s="40">
        <f>L36*in_StickAttach</f>
        <v/>
      </c>
      <c r="M37" s="40">
        <f>M36*in_StickAttach</f>
        <v/>
      </c>
      <c r="N37" s="40">
        <f>N36*in_StickAttach</f>
        <v/>
      </c>
      <c r="O37" s="40">
        <f>O36*in_StickAttach</f>
        <v/>
      </c>
      <c r="P37" s="40">
        <f>P36*in_StickAttach</f>
        <v/>
      </c>
      <c r="Q37" s="40">
        <f>Q36*in_StickAttach</f>
        <v/>
      </c>
      <c r="R37" s="41">
        <f>SUM(C37:Q37)</f>
        <v/>
      </c>
    </row>
    <row r="39">
      <c r="A39" s="7" t="inlineStr">
        <is>
          <t>Wholesale (direct to stores)</t>
        </is>
      </c>
      <c r="B39" s="8" t="n"/>
      <c r="C39" s="8" t="n"/>
      <c r="D39" s="8" t="n"/>
      <c r="E39" s="8" t="n"/>
      <c r="F39" s="8" t="n"/>
      <c r="G39" s="8" t="n"/>
      <c r="H39" s="8" t="n"/>
      <c r="I39" s="8" t="n"/>
      <c r="J39" s="8" t="n"/>
      <c r="K39" s="8" t="n"/>
      <c r="L39" s="8" t="n"/>
      <c r="M39" s="8" t="n"/>
      <c r="N39" s="8" t="n"/>
      <c r="O39" s="8" t="n"/>
      <c r="P39" s="8" t="n"/>
      <c r="Q39" s="8" t="n"/>
      <c r="R39" s="8" t="n"/>
    </row>
    <row r="40">
      <c r="A40" s="10" t="inlineStr">
        <is>
          <t>New store accounts</t>
        </is>
      </c>
      <c r="C40" s="40">
        <f>IFERROR(INDEX(Inputs!$D$98:$D$107,MATCH(C$23,Inputs!$A$98:$A$107,0)),0)*$B$4*C24</f>
        <v/>
      </c>
      <c r="D40" s="40">
        <f>IFERROR(INDEX(Inputs!$D$98:$D$107,MATCH(D$23,Inputs!$A$98:$A$107,0)),0)*$B$4*D24</f>
        <v/>
      </c>
      <c r="E40" s="40">
        <f>IFERROR(INDEX(Inputs!$D$98:$D$107,MATCH(E$23,Inputs!$A$98:$A$107,0)),0)*$B$4*E24</f>
        <v/>
      </c>
      <c r="F40" s="40">
        <f>IFERROR(INDEX(Inputs!$D$98:$D$107,MATCH(F$23,Inputs!$A$98:$A$107,0)),0)*$B$4*F24</f>
        <v/>
      </c>
      <c r="G40" s="40">
        <f>IFERROR(INDEX(Inputs!$D$98:$D$107,MATCH(G$23,Inputs!$A$98:$A$107,0)),0)*$B$4*G24</f>
        <v/>
      </c>
      <c r="H40" s="40">
        <f>IFERROR(INDEX(Inputs!$D$98:$D$107,MATCH(H$23,Inputs!$A$98:$A$107,0)),0)*$B$4*H24</f>
        <v/>
      </c>
      <c r="I40" s="40">
        <f>IFERROR(INDEX(Inputs!$D$98:$D$107,MATCH(I$23,Inputs!$A$98:$A$107,0)),0)*$B$4*I24</f>
        <v/>
      </c>
      <c r="J40" s="40">
        <f>IFERROR(INDEX(Inputs!$D$98:$D$107,MATCH(J$23,Inputs!$A$98:$A$107,0)),0)*$B$4*J24</f>
        <v/>
      </c>
      <c r="K40" s="40">
        <f>IFERROR(INDEX(Inputs!$D$98:$D$107,MATCH(K$23,Inputs!$A$98:$A$107,0)),0)*$B$4*K24</f>
        <v/>
      </c>
      <c r="L40" s="40">
        <f>IFERROR(INDEX(Inputs!$D$98:$D$107,MATCH(L$23,Inputs!$A$98:$A$107,0)),0)*$B$4*L24</f>
        <v/>
      </c>
      <c r="M40" s="40">
        <f>IFERROR(INDEX(Inputs!$D$98:$D$107,MATCH(M$23,Inputs!$A$98:$A$107,0)),0)*$B$4*M24</f>
        <v/>
      </c>
      <c r="N40" s="40">
        <f>IFERROR(INDEX(Inputs!$D$98:$D$107,MATCH(N$23,Inputs!$A$98:$A$107,0)),0)*$B$4*N24</f>
        <v/>
      </c>
      <c r="O40" s="40">
        <f>IFERROR(INDEX(Inputs!$D$98:$D$107,MATCH(O$23,Inputs!$A$98:$A$107,0)),0)*$B$4*O24</f>
        <v/>
      </c>
      <c r="P40" s="40">
        <f>IFERROR(INDEX(Inputs!$D$98:$D$107,MATCH(P$23,Inputs!$A$98:$A$107,0)),0)*$B$4*P24</f>
        <v/>
      </c>
      <c r="Q40" s="40">
        <f>IFERROR(INDEX(Inputs!$D$98:$D$107,MATCH(Q$23,Inputs!$A$98:$A$107,0)),0)*$B$4*Q24</f>
        <v/>
      </c>
      <c r="R40" s="41">
        <f>SUM(C40:Q40)</f>
        <v/>
      </c>
    </row>
    <row r="41">
      <c r="A41" s="10" t="inlineStr">
        <is>
          <t>Active store accounts, end of month</t>
        </is>
      </c>
      <c r="C41" s="40">
        <f>C40</f>
        <v/>
      </c>
      <c r="D41" s="40">
        <f>C41*(1-in_StoreChurn)+D40</f>
        <v/>
      </c>
      <c r="E41" s="40">
        <f>D41*(1-in_StoreChurn)+E40</f>
        <v/>
      </c>
      <c r="F41" s="40">
        <f>E41*(1-in_StoreChurn)+F40</f>
        <v/>
      </c>
      <c r="G41" s="40">
        <f>F41*(1-in_StoreChurn)+G40</f>
        <v/>
      </c>
      <c r="H41" s="40">
        <f>G41*(1-in_StoreChurn)+H40</f>
        <v/>
      </c>
      <c r="I41" s="40">
        <f>H41*(1-in_StoreChurn)+I40</f>
        <v/>
      </c>
      <c r="J41" s="40">
        <f>I41*(1-in_StoreChurn)+J40</f>
        <v/>
      </c>
      <c r="K41" s="40">
        <f>J41*(1-in_StoreChurn)+K40</f>
        <v/>
      </c>
      <c r="L41" s="40">
        <f>K41*(1-in_StoreChurn)+L40</f>
        <v/>
      </c>
      <c r="M41" s="40">
        <f>L41*(1-in_StoreChurn)+M40</f>
        <v/>
      </c>
      <c r="N41" s="40">
        <f>M41*(1-in_StoreChurn)+N40</f>
        <v/>
      </c>
      <c r="O41" s="40">
        <f>N41*(1-in_StoreChurn)+O40</f>
        <v/>
      </c>
      <c r="P41" s="40">
        <f>O41*(1-in_StoreChurn)+P40</f>
        <v/>
      </c>
      <c r="Q41" s="40">
        <f>P41*(1-in_StoreChurn)+Q40</f>
        <v/>
      </c>
    </row>
    <row r="42">
      <c r="A42" s="10" t="inlineStr">
        <is>
          <t>Wholesale pouches shipped</t>
        </is>
      </c>
      <c r="C42" s="40">
        <f>C41*in_PouchPerStore</f>
        <v/>
      </c>
      <c r="D42" s="40">
        <f>D41*in_PouchPerStore</f>
        <v/>
      </c>
      <c r="E42" s="40">
        <f>E41*in_PouchPerStore</f>
        <v/>
      </c>
      <c r="F42" s="40">
        <f>F41*in_PouchPerStore</f>
        <v/>
      </c>
      <c r="G42" s="40">
        <f>G41*in_PouchPerStore</f>
        <v/>
      </c>
      <c r="H42" s="40">
        <f>H41*in_PouchPerStore</f>
        <v/>
      </c>
      <c r="I42" s="40">
        <f>I41*in_PouchPerStore</f>
        <v/>
      </c>
      <c r="J42" s="40">
        <f>J41*in_PouchPerStore</f>
        <v/>
      </c>
      <c r="K42" s="40">
        <f>K41*in_PouchPerStore</f>
        <v/>
      </c>
      <c r="L42" s="40">
        <f>L41*in_PouchPerStore</f>
        <v/>
      </c>
      <c r="M42" s="40">
        <f>M41*in_PouchPerStore</f>
        <v/>
      </c>
      <c r="N42" s="40">
        <f>N41*in_PouchPerStore</f>
        <v/>
      </c>
      <c r="O42" s="40">
        <f>O41*in_PouchPerStore</f>
        <v/>
      </c>
      <c r="P42" s="40">
        <f>P41*in_PouchPerStore</f>
        <v/>
      </c>
      <c r="Q42" s="40">
        <f>Q41*in_PouchPerStore</f>
        <v/>
      </c>
      <c r="R42" s="41">
        <f>SUM(C42:Q42)</f>
        <v/>
      </c>
    </row>
    <row r="43">
      <c r="A43" s="10" t="inlineStr">
        <is>
          <t>Wholesale sticks shipped</t>
        </is>
      </c>
      <c r="C43" s="40">
        <f>C41*in_StickPerStore</f>
        <v/>
      </c>
      <c r="D43" s="40">
        <f>D41*in_StickPerStore</f>
        <v/>
      </c>
      <c r="E43" s="40">
        <f>E41*in_StickPerStore</f>
        <v/>
      </c>
      <c r="F43" s="40">
        <f>F41*in_StickPerStore</f>
        <v/>
      </c>
      <c r="G43" s="40">
        <f>G41*in_StickPerStore</f>
        <v/>
      </c>
      <c r="H43" s="40">
        <f>H41*in_StickPerStore</f>
        <v/>
      </c>
      <c r="I43" s="40">
        <f>I41*in_StickPerStore</f>
        <v/>
      </c>
      <c r="J43" s="40">
        <f>J41*in_StickPerStore</f>
        <v/>
      </c>
      <c r="K43" s="40">
        <f>K41*in_StickPerStore</f>
        <v/>
      </c>
      <c r="L43" s="40">
        <f>L41*in_StickPerStore</f>
        <v/>
      </c>
      <c r="M43" s="40">
        <f>M41*in_StickPerStore</f>
        <v/>
      </c>
      <c r="N43" s="40">
        <f>N41*in_StickPerStore</f>
        <v/>
      </c>
      <c r="O43" s="40">
        <f>O41*in_StickPerStore</f>
        <v/>
      </c>
      <c r="P43" s="40">
        <f>P41*in_StickPerStore</f>
        <v/>
      </c>
      <c r="Q43" s="40">
        <f>Q41*in_StickPerStore</f>
        <v/>
      </c>
      <c r="R43" s="41">
        <f>SUM(C43:Q43)</f>
        <v/>
      </c>
    </row>
    <row r="45">
      <c r="A45" s="7" t="inlineStr">
        <is>
          <t>Pouch inventory (units)</t>
        </is>
      </c>
      <c r="B45" s="8" t="n"/>
      <c r="C45" s="8" t="n"/>
      <c r="D45" s="8" t="n"/>
      <c r="E45" s="8" t="n"/>
      <c r="F45" s="8" t="n"/>
      <c r="G45" s="8" t="n"/>
      <c r="H45" s="8" t="n"/>
      <c r="I45" s="8" t="n"/>
      <c r="J45" s="8" t="n"/>
      <c r="K45" s="8" t="n"/>
      <c r="L45" s="8" t="n"/>
      <c r="M45" s="8" t="n"/>
      <c r="N45" s="8" t="n"/>
      <c r="O45" s="8" t="n"/>
      <c r="P45" s="8" t="n"/>
      <c r="Q45" s="8" t="n"/>
      <c r="R45" s="8" t="n"/>
    </row>
    <row r="46">
      <c r="A46" s="10" t="inlineStr">
        <is>
          <t>Pouch demand</t>
        </is>
      </c>
      <c r="C46" s="43">
        <f>C36*in_PouchPerOrder+C42</f>
        <v/>
      </c>
      <c r="D46" s="43">
        <f>D36*in_PouchPerOrder+D42</f>
        <v/>
      </c>
      <c r="E46" s="43">
        <f>E36*in_PouchPerOrder+E42</f>
        <v/>
      </c>
      <c r="F46" s="43">
        <f>F36*in_PouchPerOrder+F42</f>
        <v/>
      </c>
      <c r="G46" s="43">
        <f>G36*in_PouchPerOrder+G42</f>
        <v/>
      </c>
      <c r="H46" s="43">
        <f>H36*in_PouchPerOrder+H42</f>
        <v/>
      </c>
      <c r="I46" s="43">
        <f>I36*in_PouchPerOrder+I42</f>
        <v/>
      </c>
      <c r="J46" s="43">
        <f>J36*in_PouchPerOrder+J42</f>
        <v/>
      </c>
      <c r="K46" s="43">
        <f>K36*in_PouchPerOrder+K42</f>
        <v/>
      </c>
      <c r="L46" s="43">
        <f>L36*in_PouchPerOrder+L42</f>
        <v/>
      </c>
      <c r="M46" s="43">
        <f>M36*in_PouchPerOrder+M42</f>
        <v/>
      </c>
      <c r="N46" s="43">
        <f>N36*in_PouchPerOrder+N42</f>
        <v/>
      </c>
      <c r="O46" s="43">
        <f>O36*in_PouchPerOrder+O42</f>
        <v/>
      </c>
      <c r="P46" s="43">
        <f>P36*in_PouchPerOrder+P42</f>
        <v/>
      </c>
      <c r="Q46" s="43">
        <f>Q36*in_PouchPerOrder+Q42</f>
        <v/>
      </c>
      <c r="R46" s="44">
        <f>SUM(C46:Q46)</f>
        <v/>
      </c>
    </row>
    <row r="47">
      <c r="A47" s="10" t="inlineStr">
        <is>
          <t>Opening stock</t>
        </is>
      </c>
      <c r="C47" s="43">
        <f>0</f>
        <v/>
      </c>
      <c r="D47" s="43">
        <f>C55</f>
        <v/>
      </c>
      <c r="E47" s="43">
        <f>D55</f>
        <v/>
      </c>
      <c r="F47" s="43">
        <f>E55</f>
        <v/>
      </c>
      <c r="G47" s="43">
        <f>F55</f>
        <v/>
      </c>
      <c r="H47" s="43">
        <f>G55</f>
        <v/>
      </c>
      <c r="I47" s="43">
        <f>H55</f>
        <v/>
      </c>
      <c r="J47" s="43">
        <f>I55</f>
        <v/>
      </c>
      <c r="K47" s="43">
        <f>J55</f>
        <v/>
      </c>
      <c r="L47" s="43">
        <f>K55</f>
        <v/>
      </c>
      <c r="M47" s="43">
        <f>L55</f>
        <v/>
      </c>
      <c r="N47" s="43">
        <f>M55</f>
        <v/>
      </c>
      <c r="O47" s="43">
        <f>N55</f>
        <v/>
      </c>
      <c r="P47" s="43">
        <f>O55</f>
        <v/>
      </c>
      <c r="Q47" s="43">
        <f>P55</f>
        <v/>
      </c>
    </row>
    <row r="48">
      <c r="A48" s="10" t="inlineStr">
        <is>
          <t>First run received</t>
        </is>
      </c>
      <c r="C48" s="43">
        <f>IF(EOMONTH(in_FirstShip,0)=EOMONTH(C$23,0),$B$8,0)</f>
        <v/>
      </c>
      <c r="D48" s="43">
        <f>IF(EOMONTH(in_FirstShip,0)=EOMONTH(D$23,0),$B$8,0)</f>
        <v/>
      </c>
      <c r="E48" s="43">
        <f>IF(EOMONTH(in_FirstShip,0)=EOMONTH(E$23,0),$B$8,0)</f>
        <v/>
      </c>
      <c r="F48" s="43">
        <f>IF(EOMONTH(in_FirstShip,0)=EOMONTH(F$23,0),$B$8,0)</f>
        <v/>
      </c>
      <c r="G48" s="43">
        <f>IF(EOMONTH(in_FirstShip,0)=EOMONTH(G$23,0),$B$8,0)</f>
        <v/>
      </c>
      <c r="H48" s="43">
        <f>IF(EOMONTH(in_FirstShip,0)=EOMONTH(H$23,0),$B$8,0)</f>
        <v/>
      </c>
      <c r="I48" s="43">
        <f>IF(EOMONTH(in_FirstShip,0)=EOMONTH(I$23,0),$B$8,0)</f>
        <v/>
      </c>
      <c r="J48" s="43">
        <f>IF(EOMONTH(in_FirstShip,0)=EOMONTH(J$23,0),$B$8,0)</f>
        <v/>
      </c>
      <c r="K48" s="43">
        <f>IF(EOMONTH(in_FirstShip,0)=EOMONTH(K$23,0),$B$8,0)</f>
        <v/>
      </c>
      <c r="L48" s="43">
        <f>IF(EOMONTH(in_FirstShip,0)=EOMONTH(L$23,0),$B$8,0)</f>
        <v/>
      </c>
      <c r="M48" s="43">
        <f>IF(EOMONTH(in_FirstShip,0)=EOMONTH(M$23,0),$B$8,0)</f>
        <v/>
      </c>
      <c r="N48" s="43">
        <f>IF(EOMONTH(in_FirstShip,0)=EOMONTH(N$23,0),$B$8,0)</f>
        <v/>
      </c>
      <c r="O48" s="43">
        <f>IF(EOMONTH(in_FirstShip,0)=EOMONTH(O$23,0),$B$8,0)</f>
        <v/>
      </c>
      <c r="P48" s="43">
        <f>IF(EOMONTH(in_FirstShip,0)=EOMONTH(P$23,0),$B$8,0)</f>
        <v/>
      </c>
      <c r="Q48" s="43">
        <f>IF(EOMONTH(in_FirstShip,0)=EOMONTH(Q$23,0),$B$8,0)</f>
        <v/>
      </c>
      <c r="R48" s="44">
        <f>SUM(C48:Q48)</f>
        <v/>
      </c>
    </row>
    <row r="49">
      <c r="A49" s="10" t="inlineStr">
        <is>
          <t>Second flavour first run received</t>
        </is>
      </c>
      <c r="C49" s="43">
        <f>IF(AND(in_Flavor2On=1,EOMONTH(in_Flavor2Run,0)=EOMONTH(C$23,0)),$B$8,0)</f>
        <v/>
      </c>
      <c r="D49" s="43">
        <f>IF(AND(in_Flavor2On=1,EOMONTH(in_Flavor2Run,0)=EOMONTH(D$23,0)),$B$8,0)</f>
        <v/>
      </c>
      <c r="E49" s="43">
        <f>IF(AND(in_Flavor2On=1,EOMONTH(in_Flavor2Run,0)=EOMONTH(E$23,0)),$B$8,0)</f>
        <v/>
      </c>
      <c r="F49" s="43">
        <f>IF(AND(in_Flavor2On=1,EOMONTH(in_Flavor2Run,0)=EOMONTH(F$23,0)),$B$8,0)</f>
        <v/>
      </c>
      <c r="G49" s="43">
        <f>IF(AND(in_Flavor2On=1,EOMONTH(in_Flavor2Run,0)=EOMONTH(G$23,0)),$B$8,0)</f>
        <v/>
      </c>
      <c r="H49" s="43">
        <f>IF(AND(in_Flavor2On=1,EOMONTH(in_Flavor2Run,0)=EOMONTH(H$23,0)),$B$8,0)</f>
        <v/>
      </c>
      <c r="I49" s="43">
        <f>IF(AND(in_Flavor2On=1,EOMONTH(in_Flavor2Run,0)=EOMONTH(I$23,0)),$B$8,0)</f>
        <v/>
      </c>
      <c r="J49" s="43">
        <f>IF(AND(in_Flavor2On=1,EOMONTH(in_Flavor2Run,0)=EOMONTH(J$23,0)),$B$8,0)</f>
        <v/>
      </c>
      <c r="K49" s="43">
        <f>IF(AND(in_Flavor2On=1,EOMONTH(in_Flavor2Run,0)=EOMONTH(K$23,0)),$B$8,0)</f>
        <v/>
      </c>
      <c r="L49" s="43">
        <f>IF(AND(in_Flavor2On=1,EOMONTH(in_Flavor2Run,0)=EOMONTH(L$23,0)),$B$8,0)</f>
        <v/>
      </c>
      <c r="M49" s="43">
        <f>IF(AND(in_Flavor2On=1,EOMONTH(in_Flavor2Run,0)=EOMONTH(M$23,0)),$B$8,0)</f>
        <v/>
      </c>
      <c r="N49" s="43">
        <f>IF(AND(in_Flavor2On=1,EOMONTH(in_Flavor2Run,0)=EOMONTH(N$23,0)),$B$8,0)</f>
        <v/>
      </c>
      <c r="O49" s="43">
        <f>IF(AND(in_Flavor2On=1,EOMONTH(in_Flavor2Run,0)=EOMONTH(O$23,0)),$B$8,0)</f>
        <v/>
      </c>
      <c r="P49" s="43">
        <f>IF(AND(in_Flavor2On=1,EOMONTH(in_Flavor2Run,0)=EOMONTH(P$23,0)),$B$8,0)</f>
        <v/>
      </c>
      <c r="Q49" s="43">
        <f>IF(AND(in_Flavor2On=1,EOMONTH(in_Flavor2Run,0)=EOMONTH(Q$23,0)),$B$8,0)</f>
        <v/>
      </c>
      <c r="R49" s="44">
        <f>SUM(C49:Q49)</f>
        <v/>
      </c>
    </row>
    <row r="50">
      <c r="A50" s="10" t="inlineStr">
        <is>
          <t>Reorders received (placed lead-time months earlier)</t>
        </is>
      </c>
      <c r="B50" s="6" t="inlineStr">
        <is>
          <t>Lead-time input</t>
        </is>
      </c>
      <c r="C50" s="43">
        <f>IF(in_Lead=1,0,IF(in_Lead=2,0,IF(in_Lead=3,0,0)))</f>
        <v/>
      </c>
      <c r="D50" s="43">
        <f>IF(in_Lead=1,C52,IF(in_Lead=2,0,IF(in_Lead=3,0,0)))</f>
        <v/>
      </c>
      <c r="E50" s="43">
        <f>IF(in_Lead=1,D52,IF(in_Lead=2,C52,IF(in_Lead=3,0,0)))</f>
        <v/>
      </c>
      <c r="F50" s="43">
        <f>IF(in_Lead=1,E52,IF(in_Lead=2,D52,IF(in_Lead=3,C52,0)))</f>
        <v/>
      </c>
      <c r="G50" s="43">
        <f>IF(in_Lead=1,F52,IF(in_Lead=2,E52,IF(in_Lead=3,D52,0)))</f>
        <v/>
      </c>
      <c r="H50" s="43">
        <f>IF(in_Lead=1,G52,IF(in_Lead=2,F52,IF(in_Lead=3,E52,0)))</f>
        <v/>
      </c>
      <c r="I50" s="43">
        <f>IF(in_Lead=1,H52,IF(in_Lead=2,G52,IF(in_Lead=3,F52,0)))</f>
        <v/>
      </c>
      <c r="J50" s="43">
        <f>IF(in_Lead=1,I52,IF(in_Lead=2,H52,IF(in_Lead=3,G52,0)))</f>
        <v/>
      </c>
      <c r="K50" s="43">
        <f>IF(in_Lead=1,J52,IF(in_Lead=2,I52,IF(in_Lead=3,H52,0)))</f>
        <v/>
      </c>
      <c r="L50" s="43">
        <f>IF(in_Lead=1,K52,IF(in_Lead=2,J52,IF(in_Lead=3,I52,0)))</f>
        <v/>
      </c>
      <c r="M50" s="43">
        <f>IF(in_Lead=1,L52,IF(in_Lead=2,K52,IF(in_Lead=3,J52,0)))</f>
        <v/>
      </c>
      <c r="N50" s="43">
        <f>IF(in_Lead=1,M52,IF(in_Lead=2,L52,IF(in_Lead=3,K52,0)))</f>
        <v/>
      </c>
      <c r="O50" s="43">
        <f>IF(in_Lead=1,N52,IF(in_Lead=2,M52,IF(in_Lead=3,L52,0)))</f>
        <v/>
      </c>
      <c r="P50" s="43">
        <f>IF(in_Lead=1,O52,IF(in_Lead=2,N52,IF(in_Lead=3,M52,0)))</f>
        <v/>
      </c>
      <c r="Q50" s="43">
        <f>IF(in_Lead=1,P52,IF(in_Lead=2,O52,IF(in_Lead=3,N52,0)))</f>
        <v/>
      </c>
      <c r="R50" s="44">
        <f>SUM(C50:Q50)</f>
        <v/>
      </c>
    </row>
    <row r="51">
      <c r="A51" s="10" t="inlineStr">
        <is>
          <t>On order, still in transit after this month</t>
        </is>
      </c>
      <c r="C51" s="43">
        <f>IF(in_Lead&gt;=2,0,0)+IF(in_Lead&gt;=3,0,0)</f>
        <v/>
      </c>
      <c r="D51" s="43">
        <f>IF(in_Lead&gt;=2,C52,0)+IF(in_Lead&gt;=3,0,0)</f>
        <v/>
      </c>
      <c r="E51" s="43">
        <f>IF(in_Lead&gt;=2,D52,0)+IF(in_Lead&gt;=3,C52,0)</f>
        <v/>
      </c>
      <c r="F51" s="43">
        <f>IF(in_Lead&gt;=2,E52,0)+IF(in_Lead&gt;=3,D52,0)</f>
        <v/>
      </c>
      <c r="G51" s="43">
        <f>IF(in_Lead&gt;=2,F52,0)+IF(in_Lead&gt;=3,E52,0)</f>
        <v/>
      </c>
      <c r="H51" s="43">
        <f>IF(in_Lead&gt;=2,G52,0)+IF(in_Lead&gt;=3,F52,0)</f>
        <v/>
      </c>
      <c r="I51" s="43">
        <f>IF(in_Lead&gt;=2,H52,0)+IF(in_Lead&gt;=3,G52,0)</f>
        <v/>
      </c>
      <c r="J51" s="43">
        <f>IF(in_Lead&gt;=2,I52,0)+IF(in_Lead&gt;=3,H52,0)</f>
        <v/>
      </c>
      <c r="K51" s="43">
        <f>IF(in_Lead&gt;=2,J52,0)+IF(in_Lead&gt;=3,I52,0)</f>
        <v/>
      </c>
      <c r="L51" s="43">
        <f>IF(in_Lead&gt;=2,K52,0)+IF(in_Lead&gt;=3,J52,0)</f>
        <v/>
      </c>
      <c r="M51" s="43">
        <f>IF(in_Lead&gt;=2,L52,0)+IF(in_Lead&gt;=3,K52,0)</f>
        <v/>
      </c>
      <c r="N51" s="43">
        <f>IF(in_Lead&gt;=2,M52,0)+IF(in_Lead&gt;=3,L52,0)</f>
        <v/>
      </c>
      <c r="O51" s="43">
        <f>IF(in_Lead&gt;=2,N52,0)+IF(in_Lead&gt;=3,M52,0)</f>
        <v/>
      </c>
      <c r="P51" s="43">
        <f>IF(in_Lead&gt;=2,O52,0)+IF(in_Lead&gt;=3,N52,0)</f>
        <v/>
      </c>
      <c r="Q51" s="43">
        <f>IF(in_Lead&gt;=2,P52,0)+IF(in_Lead&gt;=3,O52,0)</f>
        <v/>
      </c>
    </row>
    <row r="52">
      <c r="A52" s="10" t="inlineStr">
        <is>
          <t>Reorder placed and paid (stock + on order below reorder point)</t>
        </is>
      </c>
      <c r="B52" s="6" t="inlineStr">
        <is>
          <t>Paid when placed</t>
        </is>
      </c>
      <c r="C52" s="43">
        <f>IF(C24=1,IF(C47+C48+C49+C50+C51&lt;C46*in_Cover,ROUNDUP((C46*in_Cover-(C47+C48+C49+C50+C51))/$B$8,0)*$B$8,0),0)</f>
        <v/>
      </c>
      <c r="D52" s="43">
        <f>IF(D24=1,IF(D47+D48+D49+D50+D51&lt;D46*in_Cover,ROUNDUP((D46*in_Cover-(D47+D48+D49+D50+D51))/$B$8,0)*$B$8,0),0)</f>
        <v/>
      </c>
      <c r="E52" s="43">
        <f>IF(E24=1,IF(E47+E48+E49+E50+E51&lt;E46*in_Cover,ROUNDUP((E46*in_Cover-(E47+E48+E49+E50+E51))/$B$8,0)*$B$8,0),0)</f>
        <v/>
      </c>
      <c r="F52" s="43">
        <f>IF(F24=1,IF(F47+F48+F49+F50+F51&lt;F46*in_Cover,ROUNDUP((F46*in_Cover-(F47+F48+F49+F50+F51))/$B$8,0)*$B$8,0),0)</f>
        <v/>
      </c>
      <c r="G52" s="43">
        <f>IF(G24=1,IF(G47+G48+G49+G50+G51&lt;G46*in_Cover,ROUNDUP((G46*in_Cover-(G47+G48+G49+G50+G51))/$B$8,0)*$B$8,0),0)</f>
        <v/>
      </c>
      <c r="H52" s="43">
        <f>IF(H24=1,IF(H47+H48+H49+H50+H51&lt;H46*in_Cover,ROUNDUP((H46*in_Cover-(H47+H48+H49+H50+H51))/$B$8,0)*$B$8,0),0)</f>
        <v/>
      </c>
      <c r="I52" s="43">
        <f>IF(I24=1,IF(I47+I48+I49+I50+I51&lt;I46*in_Cover,ROUNDUP((I46*in_Cover-(I47+I48+I49+I50+I51))/$B$8,0)*$B$8,0),0)</f>
        <v/>
      </c>
      <c r="J52" s="43">
        <f>IF(J24=1,IF(J47+J48+J49+J50+J51&lt;J46*in_Cover,ROUNDUP((J46*in_Cover-(J47+J48+J49+J50+J51))/$B$8,0)*$B$8,0),0)</f>
        <v/>
      </c>
      <c r="K52" s="43">
        <f>IF(K24=1,IF(K47+K48+K49+K50+K51&lt;K46*in_Cover,ROUNDUP((K46*in_Cover-(K47+K48+K49+K50+K51))/$B$8,0)*$B$8,0),0)</f>
        <v/>
      </c>
      <c r="L52" s="43">
        <f>IF(L24=1,IF(L47+L48+L49+L50+L51&lt;L46*in_Cover,ROUNDUP((L46*in_Cover-(L47+L48+L49+L50+L51))/$B$8,0)*$B$8,0),0)</f>
        <v/>
      </c>
      <c r="M52" s="43">
        <f>IF(M24=1,IF(M47+M48+M49+M50+M51&lt;M46*in_Cover,ROUNDUP((M46*in_Cover-(M47+M48+M49+M50+M51))/$B$8,0)*$B$8,0),0)</f>
        <v/>
      </c>
      <c r="N52" s="43">
        <f>IF(N24=1,IF(N47+N48+N49+N50+N51&lt;N46*in_Cover,ROUNDUP((N46*in_Cover-(N47+N48+N49+N50+N51))/$B$8,0)*$B$8,0),0)</f>
        <v/>
      </c>
      <c r="O52" s="43">
        <f>IF(O24=1,IF(O47+O48+O49+O50+O51&lt;O46*in_Cover,ROUNDUP((O46*in_Cover-(O47+O48+O49+O50+O51))/$B$8,0)*$B$8,0),0)</f>
        <v/>
      </c>
      <c r="P52" s="43">
        <f>IF(P24=1,IF(P47+P48+P49+P50+P51&lt;P46*in_Cover,ROUNDUP((P46*in_Cover-(P47+P48+P49+P50+P51))/$B$8,0)*$B$8,0),0)</f>
        <v/>
      </c>
      <c r="Q52" s="43">
        <f>IF(Q24=1,IF(Q47+Q48+Q49+Q50+Q51&lt;Q46*in_Cover,ROUNDUP((Q46*in_Cover-(Q47+Q48+Q49+Q50+Q51))/$B$8,0)*$B$8,0),0)</f>
        <v/>
      </c>
      <c r="R52" s="44">
        <f>SUM(C52:Q52)</f>
        <v/>
      </c>
    </row>
    <row r="53">
      <c r="A53" s="10" t="inlineStr">
        <is>
          <t>Pouches sold</t>
        </is>
      </c>
      <c r="C53" s="43">
        <f>MIN(C46,C47+C48+C49+C50)</f>
        <v/>
      </c>
      <c r="D53" s="43">
        <f>MIN(D46,D47+D48+D49+D50)</f>
        <v/>
      </c>
      <c r="E53" s="43">
        <f>MIN(E46,E47+E48+E49+E50)</f>
        <v/>
      </c>
      <c r="F53" s="43">
        <f>MIN(F46,F47+F48+F49+F50)</f>
        <v/>
      </c>
      <c r="G53" s="43">
        <f>MIN(G46,G47+G48+G49+G50)</f>
        <v/>
      </c>
      <c r="H53" s="43">
        <f>MIN(H46,H47+H48+H49+H50)</f>
        <v/>
      </c>
      <c r="I53" s="43">
        <f>MIN(I46,I47+I48+I49+I50)</f>
        <v/>
      </c>
      <c r="J53" s="43">
        <f>MIN(J46,J47+J48+J49+J50)</f>
        <v/>
      </c>
      <c r="K53" s="43">
        <f>MIN(K46,K47+K48+K49+K50)</f>
        <v/>
      </c>
      <c r="L53" s="43">
        <f>MIN(L46,L47+L48+L49+L50)</f>
        <v/>
      </c>
      <c r="M53" s="43">
        <f>MIN(M46,M47+M48+M49+M50)</f>
        <v/>
      </c>
      <c r="N53" s="43">
        <f>MIN(N46,N47+N48+N49+N50)</f>
        <v/>
      </c>
      <c r="O53" s="43">
        <f>MIN(O46,O47+O48+O49+O50)</f>
        <v/>
      </c>
      <c r="P53" s="43">
        <f>MIN(P46,P47+P48+P49+P50)</f>
        <v/>
      </c>
      <c r="Q53" s="43">
        <f>MIN(Q46,Q47+Q48+Q49+Q50)</f>
        <v/>
      </c>
      <c r="R53" s="44">
        <f>SUM(C53:Q53)</f>
        <v/>
      </c>
    </row>
    <row r="54">
      <c r="A54" s="10" t="inlineStr">
        <is>
          <t>Pouch shortfall (check: should be 0)</t>
        </is>
      </c>
      <c r="B54" s="6" t="inlineStr">
        <is>
          <t>Must stay 0</t>
        </is>
      </c>
      <c r="C54" s="43">
        <f>C46-C53</f>
        <v/>
      </c>
      <c r="D54" s="43">
        <f>D46-D53</f>
        <v/>
      </c>
      <c r="E54" s="43">
        <f>E46-E53</f>
        <v/>
      </c>
      <c r="F54" s="43">
        <f>F46-F53</f>
        <v/>
      </c>
      <c r="G54" s="43">
        <f>G46-G53</f>
        <v/>
      </c>
      <c r="H54" s="43">
        <f>H46-H53</f>
        <v/>
      </c>
      <c r="I54" s="43">
        <f>I46-I53</f>
        <v/>
      </c>
      <c r="J54" s="43">
        <f>J46-J53</f>
        <v/>
      </c>
      <c r="K54" s="43">
        <f>K46-K53</f>
        <v/>
      </c>
      <c r="L54" s="43">
        <f>L46-L53</f>
        <v/>
      </c>
      <c r="M54" s="43">
        <f>M46-M53</f>
        <v/>
      </c>
      <c r="N54" s="43">
        <f>N46-N53</f>
        <v/>
      </c>
      <c r="O54" s="43">
        <f>O46-O53</f>
        <v/>
      </c>
      <c r="P54" s="43">
        <f>P46-P53</f>
        <v/>
      </c>
      <c r="Q54" s="43">
        <f>Q46-Q53</f>
        <v/>
      </c>
      <c r="R54" s="44">
        <f>SUM(C54:Q54)</f>
        <v/>
      </c>
    </row>
    <row r="55">
      <c r="A55" s="10" t="inlineStr">
        <is>
          <t>Closing stock</t>
        </is>
      </c>
      <c r="C55" s="43">
        <f>C47+C48+C49+C50-C53</f>
        <v/>
      </c>
      <c r="D55" s="43">
        <f>D47+D48+D49+D50-D53</f>
        <v/>
      </c>
      <c r="E55" s="43">
        <f>E47+E48+E49+E50-E53</f>
        <v/>
      </c>
      <c r="F55" s="43">
        <f>F47+F48+F49+F50-F53</f>
        <v/>
      </c>
      <c r="G55" s="43">
        <f>G47+G48+G49+G50-G53</f>
        <v/>
      </c>
      <c r="H55" s="43">
        <f>H47+H48+H49+H50-H53</f>
        <v/>
      </c>
      <c r="I55" s="43">
        <f>I47+I48+I49+I50-I53</f>
        <v/>
      </c>
      <c r="J55" s="43">
        <f>J47+J48+J49+J50-J53</f>
        <v/>
      </c>
      <c r="K55" s="43">
        <f>K47+K48+K49+K50-K53</f>
        <v/>
      </c>
      <c r="L55" s="43">
        <f>L47+L48+L49+L50-L53</f>
        <v/>
      </c>
      <c r="M55" s="43">
        <f>M47+M48+M49+M50-M53</f>
        <v/>
      </c>
      <c r="N55" s="43">
        <f>N47+N48+N49+N50-N53</f>
        <v/>
      </c>
      <c r="O55" s="43">
        <f>O47+O48+O49+O50-O53</f>
        <v/>
      </c>
      <c r="P55" s="43">
        <f>P47+P48+P49+P50-P53</f>
        <v/>
      </c>
      <c r="Q55" s="43">
        <f>Q47+Q48+Q49+Q50-Q53</f>
        <v/>
      </c>
    </row>
    <row r="57">
      <c r="A57" s="7" t="inlineStr">
        <is>
          <t>Protein stick inventory (units)</t>
        </is>
      </c>
      <c r="B57" s="8" t="n"/>
      <c r="C57" s="8" t="n"/>
      <c r="D57" s="8" t="n"/>
      <c r="E57" s="8" t="n"/>
      <c r="F57" s="8" t="n"/>
      <c r="G57" s="8" t="n"/>
      <c r="H57" s="8" t="n"/>
      <c r="I57" s="8" t="n"/>
      <c r="J57" s="8" t="n"/>
      <c r="K57" s="8" t="n"/>
      <c r="L57" s="8" t="n"/>
      <c r="M57" s="8" t="n"/>
      <c r="N57" s="8" t="n"/>
      <c r="O57" s="8" t="n"/>
      <c r="P57" s="8" t="n"/>
      <c r="Q57" s="8" t="n"/>
      <c r="R57" s="8" t="n"/>
    </row>
    <row r="58">
      <c r="A58" s="10" t="inlineStr">
        <is>
          <t>Stick demand</t>
        </is>
      </c>
      <c r="C58" s="43">
        <f>C37*in_SticksPerBox+C43</f>
        <v/>
      </c>
      <c r="D58" s="43">
        <f>D37*in_SticksPerBox+D43</f>
        <v/>
      </c>
      <c r="E58" s="43">
        <f>E37*in_SticksPerBox+E43</f>
        <v/>
      </c>
      <c r="F58" s="43">
        <f>F37*in_SticksPerBox+F43</f>
        <v/>
      </c>
      <c r="G58" s="43">
        <f>G37*in_SticksPerBox+G43</f>
        <v/>
      </c>
      <c r="H58" s="43">
        <f>H37*in_SticksPerBox+H43</f>
        <v/>
      </c>
      <c r="I58" s="43">
        <f>I37*in_SticksPerBox+I43</f>
        <v/>
      </c>
      <c r="J58" s="43">
        <f>J37*in_SticksPerBox+J43</f>
        <v/>
      </c>
      <c r="K58" s="43">
        <f>K37*in_SticksPerBox+K43</f>
        <v/>
      </c>
      <c r="L58" s="43">
        <f>L37*in_SticksPerBox+L43</f>
        <v/>
      </c>
      <c r="M58" s="43">
        <f>M37*in_SticksPerBox+M43</f>
        <v/>
      </c>
      <c r="N58" s="43">
        <f>N37*in_SticksPerBox+N43</f>
        <v/>
      </c>
      <c r="O58" s="43">
        <f>O37*in_SticksPerBox+O43</f>
        <v/>
      </c>
      <c r="P58" s="43">
        <f>P37*in_SticksPerBox+P43</f>
        <v/>
      </c>
      <c r="Q58" s="43">
        <f>Q37*in_SticksPerBox+Q43</f>
        <v/>
      </c>
      <c r="R58" s="44">
        <f>SUM(C58:Q58)</f>
        <v/>
      </c>
    </row>
    <row r="59">
      <c r="A59" s="10" t="inlineStr">
        <is>
          <t>Opening stock</t>
        </is>
      </c>
      <c r="C59" s="43">
        <f>0</f>
        <v/>
      </c>
      <c r="D59" s="43">
        <f>C66</f>
        <v/>
      </c>
      <c r="E59" s="43">
        <f>D66</f>
        <v/>
      </c>
      <c r="F59" s="43">
        <f>E66</f>
        <v/>
      </c>
      <c r="G59" s="43">
        <f>F66</f>
        <v/>
      </c>
      <c r="H59" s="43">
        <f>G66</f>
        <v/>
      </c>
      <c r="I59" s="43">
        <f>H66</f>
        <v/>
      </c>
      <c r="J59" s="43">
        <f>I66</f>
        <v/>
      </c>
      <c r="K59" s="43">
        <f>J66</f>
        <v/>
      </c>
      <c r="L59" s="43">
        <f>K66</f>
        <v/>
      </c>
      <c r="M59" s="43">
        <f>L66</f>
        <v/>
      </c>
      <c r="N59" s="43">
        <f>M66</f>
        <v/>
      </c>
      <c r="O59" s="43">
        <f>N66</f>
        <v/>
      </c>
      <c r="P59" s="43">
        <f>O66</f>
        <v/>
      </c>
      <c r="Q59" s="43">
        <f>P66</f>
        <v/>
      </c>
    </row>
    <row r="60">
      <c r="A60" s="10" t="inlineStr">
        <is>
          <t>First run received</t>
        </is>
      </c>
      <c r="C60" s="43">
        <f>IF(EOMONTH(in_FirstShip,0)=EOMONTH(C$23,0),$B$9,0)</f>
        <v/>
      </c>
      <c r="D60" s="43">
        <f>IF(EOMONTH(in_FirstShip,0)=EOMONTH(D$23,0),$B$9,0)</f>
        <v/>
      </c>
      <c r="E60" s="43">
        <f>IF(EOMONTH(in_FirstShip,0)=EOMONTH(E$23,0),$B$9,0)</f>
        <v/>
      </c>
      <c r="F60" s="43">
        <f>IF(EOMONTH(in_FirstShip,0)=EOMONTH(F$23,0),$B$9,0)</f>
        <v/>
      </c>
      <c r="G60" s="43">
        <f>IF(EOMONTH(in_FirstShip,0)=EOMONTH(G$23,0),$B$9,0)</f>
        <v/>
      </c>
      <c r="H60" s="43">
        <f>IF(EOMONTH(in_FirstShip,0)=EOMONTH(H$23,0),$B$9,0)</f>
        <v/>
      </c>
      <c r="I60" s="43">
        <f>IF(EOMONTH(in_FirstShip,0)=EOMONTH(I$23,0),$B$9,0)</f>
        <v/>
      </c>
      <c r="J60" s="43">
        <f>IF(EOMONTH(in_FirstShip,0)=EOMONTH(J$23,0),$B$9,0)</f>
        <v/>
      </c>
      <c r="K60" s="43">
        <f>IF(EOMONTH(in_FirstShip,0)=EOMONTH(K$23,0),$B$9,0)</f>
        <v/>
      </c>
      <c r="L60" s="43">
        <f>IF(EOMONTH(in_FirstShip,0)=EOMONTH(L$23,0),$B$9,0)</f>
        <v/>
      </c>
      <c r="M60" s="43">
        <f>IF(EOMONTH(in_FirstShip,0)=EOMONTH(M$23,0),$B$9,0)</f>
        <v/>
      </c>
      <c r="N60" s="43">
        <f>IF(EOMONTH(in_FirstShip,0)=EOMONTH(N$23,0),$B$9,0)</f>
        <v/>
      </c>
      <c r="O60" s="43">
        <f>IF(EOMONTH(in_FirstShip,0)=EOMONTH(O$23,0),$B$9,0)</f>
        <v/>
      </c>
      <c r="P60" s="43">
        <f>IF(EOMONTH(in_FirstShip,0)=EOMONTH(P$23,0),$B$9,0)</f>
        <v/>
      </c>
      <c r="Q60" s="43">
        <f>IF(EOMONTH(in_FirstShip,0)=EOMONTH(Q$23,0),$B$9,0)</f>
        <v/>
      </c>
      <c r="R60" s="44">
        <f>SUM(C60:Q60)</f>
        <v/>
      </c>
    </row>
    <row r="61">
      <c r="A61" s="10" t="inlineStr">
        <is>
          <t>Reorders received (placed lead-time months earlier)</t>
        </is>
      </c>
      <c r="C61" s="43">
        <f>IF(in_Lead=1,0,IF(in_Lead=2,0,IF(in_Lead=3,0,0)))</f>
        <v/>
      </c>
      <c r="D61" s="43">
        <f>IF(in_Lead=1,C63,IF(in_Lead=2,0,IF(in_Lead=3,0,0)))</f>
        <v/>
      </c>
      <c r="E61" s="43">
        <f>IF(in_Lead=1,D63,IF(in_Lead=2,C63,IF(in_Lead=3,0,0)))</f>
        <v/>
      </c>
      <c r="F61" s="43">
        <f>IF(in_Lead=1,E63,IF(in_Lead=2,D63,IF(in_Lead=3,C63,0)))</f>
        <v/>
      </c>
      <c r="G61" s="43">
        <f>IF(in_Lead=1,F63,IF(in_Lead=2,E63,IF(in_Lead=3,D63,0)))</f>
        <v/>
      </c>
      <c r="H61" s="43">
        <f>IF(in_Lead=1,G63,IF(in_Lead=2,F63,IF(in_Lead=3,E63,0)))</f>
        <v/>
      </c>
      <c r="I61" s="43">
        <f>IF(in_Lead=1,H63,IF(in_Lead=2,G63,IF(in_Lead=3,F63,0)))</f>
        <v/>
      </c>
      <c r="J61" s="43">
        <f>IF(in_Lead=1,I63,IF(in_Lead=2,H63,IF(in_Lead=3,G63,0)))</f>
        <v/>
      </c>
      <c r="K61" s="43">
        <f>IF(in_Lead=1,J63,IF(in_Lead=2,I63,IF(in_Lead=3,H63,0)))</f>
        <v/>
      </c>
      <c r="L61" s="43">
        <f>IF(in_Lead=1,K63,IF(in_Lead=2,J63,IF(in_Lead=3,I63,0)))</f>
        <v/>
      </c>
      <c r="M61" s="43">
        <f>IF(in_Lead=1,L63,IF(in_Lead=2,K63,IF(in_Lead=3,J63,0)))</f>
        <v/>
      </c>
      <c r="N61" s="43">
        <f>IF(in_Lead=1,M63,IF(in_Lead=2,L63,IF(in_Lead=3,K63,0)))</f>
        <v/>
      </c>
      <c r="O61" s="43">
        <f>IF(in_Lead=1,N63,IF(in_Lead=2,M63,IF(in_Lead=3,L63,0)))</f>
        <v/>
      </c>
      <c r="P61" s="43">
        <f>IF(in_Lead=1,O63,IF(in_Lead=2,N63,IF(in_Lead=3,M63,0)))</f>
        <v/>
      </c>
      <c r="Q61" s="43">
        <f>IF(in_Lead=1,P63,IF(in_Lead=2,O63,IF(in_Lead=3,N63,0)))</f>
        <v/>
      </c>
      <c r="R61" s="44">
        <f>SUM(C61:Q61)</f>
        <v/>
      </c>
    </row>
    <row r="62">
      <c r="A62" s="10" t="inlineStr">
        <is>
          <t>On order, still in transit after this month</t>
        </is>
      </c>
      <c r="C62" s="43">
        <f>IF(in_Lead&gt;=2,0,0)+IF(in_Lead&gt;=3,0,0)</f>
        <v/>
      </c>
      <c r="D62" s="43">
        <f>IF(in_Lead&gt;=2,C63,0)+IF(in_Lead&gt;=3,0,0)</f>
        <v/>
      </c>
      <c r="E62" s="43">
        <f>IF(in_Lead&gt;=2,D63,0)+IF(in_Lead&gt;=3,C63,0)</f>
        <v/>
      </c>
      <c r="F62" s="43">
        <f>IF(in_Lead&gt;=2,E63,0)+IF(in_Lead&gt;=3,D63,0)</f>
        <v/>
      </c>
      <c r="G62" s="43">
        <f>IF(in_Lead&gt;=2,F63,0)+IF(in_Lead&gt;=3,E63,0)</f>
        <v/>
      </c>
      <c r="H62" s="43">
        <f>IF(in_Lead&gt;=2,G63,0)+IF(in_Lead&gt;=3,F63,0)</f>
        <v/>
      </c>
      <c r="I62" s="43">
        <f>IF(in_Lead&gt;=2,H63,0)+IF(in_Lead&gt;=3,G63,0)</f>
        <v/>
      </c>
      <c r="J62" s="43">
        <f>IF(in_Lead&gt;=2,I63,0)+IF(in_Lead&gt;=3,H63,0)</f>
        <v/>
      </c>
      <c r="K62" s="43">
        <f>IF(in_Lead&gt;=2,J63,0)+IF(in_Lead&gt;=3,I63,0)</f>
        <v/>
      </c>
      <c r="L62" s="43">
        <f>IF(in_Lead&gt;=2,K63,0)+IF(in_Lead&gt;=3,J63,0)</f>
        <v/>
      </c>
      <c r="M62" s="43">
        <f>IF(in_Lead&gt;=2,L63,0)+IF(in_Lead&gt;=3,K63,0)</f>
        <v/>
      </c>
      <c r="N62" s="43">
        <f>IF(in_Lead&gt;=2,M63,0)+IF(in_Lead&gt;=3,L63,0)</f>
        <v/>
      </c>
      <c r="O62" s="43">
        <f>IF(in_Lead&gt;=2,N63,0)+IF(in_Lead&gt;=3,M63,0)</f>
        <v/>
      </c>
      <c r="P62" s="43">
        <f>IF(in_Lead&gt;=2,O63,0)+IF(in_Lead&gt;=3,N63,0)</f>
        <v/>
      </c>
      <c r="Q62" s="43">
        <f>IF(in_Lead&gt;=2,P63,0)+IF(in_Lead&gt;=3,O63,0)</f>
        <v/>
      </c>
    </row>
    <row r="63">
      <c r="A63" s="10" t="inlineStr">
        <is>
          <t>Reorder placed and paid</t>
        </is>
      </c>
      <c r="C63" s="43">
        <f>IF(C24=1,IF(C59+C60+C61+C62&lt;C58*in_Cover,ROUNDUP((C58*in_Cover-(C59+C60+C61+C62))/$B$9,0)*$B$9,0),0)</f>
        <v/>
      </c>
      <c r="D63" s="43">
        <f>IF(D24=1,IF(D59+D60+D61+D62&lt;D58*in_Cover,ROUNDUP((D58*in_Cover-(D59+D60+D61+D62))/$B$9,0)*$B$9,0),0)</f>
        <v/>
      </c>
      <c r="E63" s="43">
        <f>IF(E24=1,IF(E59+E60+E61+E62&lt;E58*in_Cover,ROUNDUP((E58*in_Cover-(E59+E60+E61+E62))/$B$9,0)*$B$9,0),0)</f>
        <v/>
      </c>
      <c r="F63" s="43">
        <f>IF(F24=1,IF(F59+F60+F61+F62&lt;F58*in_Cover,ROUNDUP((F58*in_Cover-(F59+F60+F61+F62))/$B$9,0)*$B$9,0),0)</f>
        <v/>
      </c>
      <c r="G63" s="43">
        <f>IF(G24=1,IF(G59+G60+G61+G62&lt;G58*in_Cover,ROUNDUP((G58*in_Cover-(G59+G60+G61+G62))/$B$9,0)*$B$9,0),0)</f>
        <v/>
      </c>
      <c r="H63" s="43">
        <f>IF(H24=1,IF(H59+H60+H61+H62&lt;H58*in_Cover,ROUNDUP((H58*in_Cover-(H59+H60+H61+H62))/$B$9,0)*$B$9,0),0)</f>
        <v/>
      </c>
      <c r="I63" s="43">
        <f>IF(I24=1,IF(I59+I60+I61+I62&lt;I58*in_Cover,ROUNDUP((I58*in_Cover-(I59+I60+I61+I62))/$B$9,0)*$B$9,0),0)</f>
        <v/>
      </c>
      <c r="J63" s="43">
        <f>IF(J24=1,IF(J59+J60+J61+J62&lt;J58*in_Cover,ROUNDUP((J58*in_Cover-(J59+J60+J61+J62))/$B$9,0)*$B$9,0),0)</f>
        <v/>
      </c>
      <c r="K63" s="43">
        <f>IF(K24=1,IF(K59+K60+K61+K62&lt;K58*in_Cover,ROUNDUP((K58*in_Cover-(K59+K60+K61+K62))/$B$9,0)*$B$9,0),0)</f>
        <v/>
      </c>
      <c r="L63" s="43">
        <f>IF(L24=1,IF(L59+L60+L61+L62&lt;L58*in_Cover,ROUNDUP((L58*in_Cover-(L59+L60+L61+L62))/$B$9,0)*$B$9,0),0)</f>
        <v/>
      </c>
      <c r="M63" s="43">
        <f>IF(M24=1,IF(M59+M60+M61+M62&lt;M58*in_Cover,ROUNDUP((M58*in_Cover-(M59+M60+M61+M62))/$B$9,0)*$B$9,0),0)</f>
        <v/>
      </c>
      <c r="N63" s="43">
        <f>IF(N24=1,IF(N59+N60+N61+N62&lt;N58*in_Cover,ROUNDUP((N58*in_Cover-(N59+N60+N61+N62))/$B$9,0)*$B$9,0),0)</f>
        <v/>
      </c>
      <c r="O63" s="43">
        <f>IF(O24=1,IF(O59+O60+O61+O62&lt;O58*in_Cover,ROUNDUP((O58*in_Cover-(O59+O60+O61+O62))/$B$9,0)*$B$9,0),0)</f>
        <v/>
      </c>
      <c r="P63" s="43">
        <f>IF(P24=1,IF(P59+P60+P61+P62&lt;P58*in_Cover,ROUNDUP((P58*in_Cover-(P59+P60+P61+P62))/$B$9,0)*$B$9,0),0)</f>
        <v/>
      </c>
      <c r="Q63" s="43">
        <f>IF(Q24=1,IF(Q59+Q60+Q61+Q62&lt;Q58*in_Cover,ROUNDUP((Q58*in_Cover-(Q59+Q60+Q61+Q62))/$B$9,0)*$B$9,0),0)</f>
        <v/>
      </c>
      <c r="R63" s="44">
        <f>SUM(C63:Q63)</f>
        <v/>
      </c>
    </row>
    <row r="64">
      <c r="A64" s="10" t="inlineStr">
        <is>
          <t>Sticks sold</t>
        </is>
      </c>
      <c r="C64" s="43">
        <f>MIN(C58,C59+C60+C61)</f>
        <v/>
      </c>
      <c r="D64" s="43">
        <f>MIN(D58,D59+D60+D61)</f>
        <v/>
      </c>
      <c r="E64" s="43">
        <f>MIN(E58,E59+E60+E61)</f>
        <v/>
      </c>
      <c r="F64" s="43">
        <f>MIN(F58,F59+F60+F61)</f>
        <v/>
      </c>
      <c r="G64" s="43">
        <f>MIN(G58,G59+G60+G61)</f>
        <v/>
      </c>
      <c r="H64" s="43">
        <f>MIN(H58,H59+H60+H61)</f>
        <v/>
      </c>
      <c r="I64" s="43">
        <f>MIN(I58,I59+I60+I61)</f>
        <v/>
      </c>
      <c r="J64" s="43">
        <f>MIN(J58,J59+J60+J61)</f>
        <v/>
      </c>
      <c r="K64" s="43">
        <f>MIN(K58,K59+K60+K61)</f>
        <v/>
      </c>
      <c r="L64" s="43">
        <f>MIN(L58,L59+L60+L61)</f>
        <v/>
      </c>
      <c r="M64" s="43">
        <f>MIN(M58,M59+M60+M61)</f>
        <v/>
      </c>
      <c r="N64" s="43">
        <f>MIN(N58,N59+N60+N61)</f>
        <v/>
      </c>
      <c r="O64" s="43">
        <f>MIN(O58,O59+O60+O61)</f>
        <v/>
      </c>
      <c r="P64" s="43">
        <f>MIN(P58,P59+P60+P61)</f>
        <v/>
      </c>
      <c r="Q64" s="43">
        <f>MIN(Q58,Q59+Q60+Q61)</f>
        <v/>
      </c>
      <c r="R64" s="44">
        <f>SUM(C64:Q64)</f>
        <v/>
      </c>
    </row>
    <row r="65">
      <c r="A65" s="10" t="inlineStr">
        <is>
          <t>Stick shortfall (check: should be 0)</t>
        </is>
      </c>
      <c r="B65" s="6" t="inlineStr">
        <is>
          <t>Must stay 0</t>
        </is>
      </c>
      <c r="C65" s="43">
        <f>C58-C64</f>
        <v/>
      </c>
      <c r="D65" s="43">
        <f>D58-D64</f>
        <v/>
      </c>
      <c r="E65" s="43">
        <f>E58-E64</f>
        <v/>
      </c>
      <c r="F65" s="43">
        <f>F58-F64</f>
        <v/>
      </c>
      <c r="G65" s="43">
        <f>G58-G64</f>
        <v/>
      </c>
      <c r="H65" s="43">
        <f>H58-H64</f>
        <v/>
      </c>
      <c r="I65" s="43">
        <f>I58-I64</f>
        <v/>
      </c>
      <c r="J65" s="43">
        <f>J58-J64</f>
        <v/>
      </c>
      <c r="K65" s="43">
        <f>K58-K64</f>
        <v/>
      </c>
      <c r="L65" s="43">
        <f>L58-L64</f>
        <v/>
      </c>
      <c r="M65" s="43">
        <f>M58-M64</f>
        <v/>
      </c>
      <c r="N65" s="43">
        <f>N58-N64</f>
        <v/>
      </c>
      <c r="O65" s="43">
        <f>O58-O64</f>
        <v/>
      </c>
      <c r="P65" s="43">
        <f>P58-P64</f>
        <v/>
      </c>
      <c r="Q65" s="43">
        <f>Q58-Q64</f>
        <v/>
      </c>
      <c r="R65" s="44">
        <f>SUM(C65:Q65)</f>
        <v/>
      </c>
    </row>
    <row r="66">
      <c r="A66" s="10" t="inlineStr">
        <is>
          <t>Closing stock</t>
        </is>
      </c>
      <c r="C66" s="43">
        <f>C59+C60+C61-C64</f>
        <v/>
      </c>
      <c r="D66" s="43">
        <f>D59+D60+D61-D64</f>
        <v/>
      </c>
      <c r="E66" s="43">
        <f>E59+E60+E61-E64</f>
        <v/>
      </c>
      <c r="F66" s="43">
        <f>F59+F60+F61-F64</f>
        <v/>
      </c>
      <c r="G66" s="43">
        <f>G59+G60+G61-G64</f>
        <v/>
      </c>
      <c r="H66" s="43">
        <f>H59+H60+H61-H64</f>
        <v/>
      </c>
      <c r="I66" s="43">
        <f>I59+I60+I61-I64</f>
        <v/>
      </c>
      <c r="J66" s="43">
        <f>J59+J60+J61-J64</f>
        <v/>
      </c>
      <c r="K66" s="43">
        <f>K59+K60+K61-K64</f>
        <v/>
      </c>
      <c r="L66" s="43">
        <f>L59+L60+L61-L64</f>
        <v/>
      </c>
      <c r="M66" s="43">
        <f>M59+M60+M61-M64</f>
        <v/>
      </c>
      <c r="N66" s="43">
        <f>N59+N60+N61-N64</f>
        <v/>
      </c>
      <c r="O66" s="43">
        <f>O59+O60+O61-O64</f>
        <v/>
      </c>
      <c r="P66" s="43">
        <f>P59+P60+P61-P64</f>
        <v/>
      </c>
      <c r="Q66" s="43">
        <f>Q59+Q60+Q61-Q64</f>
        <v/>
      </c>
    </row>
    <row r="68">
      <c r="A68" s="7" t="inlineStr">
        <is>
          <t>Cash in</t>
        </is>
      </c>
      <c r="B68" s="8" t="n"/>
      <c r="C68" s="8" t="n"/>
      <c r="D68" s="8" t="n"/>
      <c r="E68" s="8" t="n"/>
      <c r="F68" s="8" t="n"/>
      <c r="G68" s="8" t="n"/>
      <c r="H68" s="8" t="n"/>
      <c r="I68" s="8" t="n"/>
      <c r="J68" s="8" t="n"/>
      <c r="K68" s="8" t="n"/>
      <c r="L68" s="8" t="n"/>
      <c r="M68" s="8" t="n"/>
      <c r="N68" s="8" t="n"/>
      <c r="O68" s="8" t="n"/>
      <c r="P68" s="8" t="n"/>
      <c r="Q68" s="8" t="n"/>
      <c r="R68" s="8" t="n"/>
    </row>
    <row r="69">
      <c r="A69" s="10" t="inlineStr">
        <is>
          <t>DTC one-off pouches</t>
        </is>
      </c>
      <c r="C69" s="45">
        <f>C35*in_PricePouch</f>
        <v/>
      </c>
      <c r="D69" s="45">
        <f>D35*in_PricePouch</f>
        <v/>
      </c>
      <c r="E69" s="45">
        <f>E35*in_PricePouch</f>
        <v/>
      </c>
      <c r="F69" s="45">
        <f>F35*in_PricePouch</f>
        <v/>
      </c>
      <c r="G69" s="45">
        <f>G35*in_PricePouch</f>
        <v/>
      </c>
      <c r="H69" s="45">
        <f>H35*in_PricePouch</f>
        <v/>
      </c>
      <c r="I69" s="45">
        <f>I35*in_PricePouch</f>
        <v/>
      </c>
      <c r="J69" s="45">
        <f>J35*in_PricePouch</f>
        <v/>
      </c>
      <c r="K69" s="45">
        <f>K35*in_PricePouch</f>
        <v/>
      </c>
      <c r="L69" s="45">
        <f>L35*in_PricePouch</f>
        <v/>
      </c>
      <c r="M69" s="45">
        <f>M35*in_PricePouch</f>
        <v/>
      </c>
      <c r="N69" s="45">
        <f>N35*in_PricePouch</f>
        <v/>
      </c>
      <c r="O69" s="45">
        <f>O35*in_PricePouch</f>
        <v/>
      </c>
      <c r="P69" s="45">
        <f>P35*in_PricePouch</f>
        <v/>
      </c>
      <c r="Q69" s="45">
        <f>Q35*in_PricePouch</f>
        <v/>
      </c>
      <c r="R69" s="46">
        <f>SUM(C69:Q69)</f>
        <v/>
      </c>
    </row>
    <row r="70">
      <c r="A70" s="10" t="inlineStr">
        <is>
          <t>DTC subscription pouches</t>
        </is>
      </c>
      <c r="C70" s="45">
        <f>C32*in_PricePouch*(1-in_SubDisc)</f>
        <v/>
      </c>
      <c r="D70" s="45">
        <f>D32*in_PricePouch*(1-in_SubDisc)</f>
        <v/>
      </c>
      <c r="E70" s="45">
        <f>E32*in_PricePouch*(1-in_SubDisc)</f>
        <v/>
      </c>
      <c r="F70" s="45">
        <f>F32*in_PricePouch*(1-in_SubDisc)</f>
        <v/>
      </c>
      <c r="G70" s="45">
        <f>G32*in_PricePouch*(1-in_SubDisc)</f>
        <v/>
      </c>
      <c r="H70" s="45">
        <f>H32*in_PricePouch*(1-in_SubDisc)</f>
        <v/>
      </c>
      <c r="I70" s="45">
        <f>I32*in_PricePouch*(1-in_SubDisc)</f>
        <v/>
      </c>
      <c r="J70" s="45">
        <f>J32*in_PricePouch*(1-in_SubDisc)</f>
        <v/>
      </c>
      <c r="K70" s="45">
        <f>K32*in_PricePouch*(1-in_SubDisc)</f>
        <v/>
      </c>
      <c r="L70" s="45">
        <f>L32*in_PricePouch*(1-in_SubDisc)</f>
        <v/>
      </c>
      <c r="M70" s="45">
        <f>M32*in_PricePouch*(1-in_SubDisc)</f>
        <v/>
      </c>
      <c r="N70" s="45">
        <f>N32*in_PricePouch*(1-in_SubDisc)</f>
        <v/>
      </c>
      <c r="O70" s="45">
        <f>O32*in_PricePouch*(1-in_SubDisc)</f>
        <v/>
      </c>
      <c r="P70" s="45">
        <f>P32*in_PricePouch*(1-in_SubDisc)</f>
        <v/>
      </c>
      <c r="Q70" s="45">
        <f>Q32*in_PricePouch*(1-in_SubDisc)</f>
        <v/>
      </c>
      <c r="R70" s="46">
        <f>SUM(C70:Q70)</f>
        <v/>
      </c>
    </row>
    <row r="71">
      <c r="A71" s="10" t="inlineStr">
        <is>
          <t>Founding offer discount (waitlist first orders)</t>
        </is>
      </c>
      <c r="C71" s="45">
        <f>-C27*in_PricePouch*in_FoundDisc</f>
        <v/>
      </c>
      <c r="D71" s="45">
        <f>-D27*in_PricePouch*in_FoundDisc</f>
        <v/>
      </c>
      <c r="E71" s="45">
        <f>-E27*in_PricePouch*in_FoundDisc</f>
        <v/>
      </c>
      <c r="F71" s="45">
        <f>-F27*in_PricePouch*in_FoundDisc</f>
        <v/>
      </c>
      <c r="G71" s="45">
        <f>-G27*in_PricePouch*in_FoundDisc</f>
        <v/>
      </c>
      <c r="H71" s="45">
        <f>-H27*in_PricePouch*in_FoundDisc</f>
        <v/>
      </c>
      <c r="I71" s="45">
        <f>-I27*in_PricePouch*in_FoundDisc</f>
        <v/>
      </c>
      <c r="J71" s="45">
        <f>-J27*in_PricePouch*in_FoundDisc</f>
        <v/>
      </c>
      <c r="K71" s="45">
        <f>-K27*in_PricePouch*in_FoundDisc</f>
        <v/>
      </c>
      <c r="L71" s="45">
        <f>-L27*in_PricePouch*in_FoundDisc</f>
        <v/>
      </c>
      <c r="M71" s="45">
        <f>-M27*in_PricePouch*in_FoundDisc</f>
        <v/>
      </c>
      <c r="N71" s="45">
        <f>-N27*in_PricePouch*in_FoundDisc</f>
        <v/>
      </c>
      <c r="O71" s="45">
        <f>-O27*in_PricePouch*in_FoundDisc</f>
        <v/>
      </c>
      <c r="P71" s="45">
        <f>-P27*in_PricePouch*in_FoundDisc</f>
        <v/>
      </c>
      <c r="Q71" s="45">
        <f>-Q27*in_PricePouch*in_FoundDisc</f>
        <v/>
      </c>
      <c r="R71" s="46">
        <f>SUM(C71:Q71)</f>
        <v/>
      </c>
    </row>
    <row r="72">
      <c r="A72" s="10" t="inlineStr">
        <is>
          <t>DTC stick boxes</t>
        </is>
      </c>
      <c r="C72" s="45">
        <f>C37*in_PriceStickBox</f>
        <v/>
      </c>
      <c r="D72" s="45">
        <f>D37*in_PriceStickBox</f>
        <v/>
      </c>
      <c r="E72" s="45">
        <f>E37*in_PriceStickBox</f>
        <v/>
      </c>
      <c r="F72" s="45">
        <f>F37*in_PriceStickBox</f>
        <v/>
      </c>
      <c r="G72" s="45">
        <f>G37*in_PriceStickBox</f>
        <v/>
      </c>
      <c r="H72" s="45">
        <f>H37*in_PriceStickBox</f>
        <v/>
      </c>
      <c r="I72" s="45">
        <f>I37*in_PriceStickBox</f>
        <v/>
      </c>
      <c r="J72" s="45">
        <f>J37*in_PriceStickBox</f>
        <v/>
      </c>
      <c r="K72" s="45">
        <f>K37*in_PriceStickBox</f>
        <v/>
      </c>
      <c r="L72" s="45">
        <f>L37*in_PriceStickBox</f>
        <v/>
      </c>
      <c r="M72" s="45">
        <f>M37*in_PriceStickBox</f>
        <v/>
      </c>
      <c r="N72" s="45">
        <f>N37*in_PriceStickBox</f>
        <v/>
      </c>
      <c r="O72" s="45">
        <f>O37*in_PriceStickBox</f>
        <v/>
      </c>
      <c r="P72" s="45">
        <f>P37*in_PriceStickBox</f>
        <v/>
      </c>
      <c r="Q72" s="45">
        <f>Q37*in_PriceStickBox</f>
        <v/>
      </c>
      <c r="R72" s="46">
        <f>SUM(C72:Q72)</f>
        <v/>
      </c>
    </row>
    <row r="73">
      <c r="A73" s="10" t="inlineStr">
        <is>
          <t>Shipping charged to customers</t>
        </is>
      </c>
      <c r="C73" s="45">
        <f>IF(in_FreeShip=1,0,(C36+C37)*in_ShipCharge)</f>
        <v/>
      </c>
      <c r="D73" s="45">
        <f>IF(in_FreeShip=1,0,(D36+D37)*in_ShipCharge)</f>
        <v/>
      </c>
      <c r="E73" s="45">
        <f>IF(in_FreeShip=1,0,(E36+E37)*in_ShipCharge)</f>
        <v/>
      </c>
      <c r="F73" s="45">
        <f>IF(in_FreeShip=1,0,(F36+F37)*in_ShipCharge)</f>
        <v/>
      </c>
      <c r="G73" s="45">
        <f>IF(in_FreeShip=1,0,(G36+G37)*in_ShipCharge)</f>
        <v/>
      </c>
      <c r="H73" s="45">
        <f>IF(in_FreeShip=1,0,(H36+H37)*in_ShipCharge)</f>
        <v/>
      </c>
      <c r="I73" s="45">
        <f>IF(in_FreeShip=1,0,(I36+I37)*in_ShipCharge)</f>
        <v/>
      </c>
      <c r="J73" s="45">
        <f>IF(in_FreeShip=1,0,(J36+J37)*in_ShipCharge)</f>
        <v/>
      </c>
      <c r="K73" s="45">
        <f>IF(in_FreeShip=1,0,(K36+K37)*in_ShipCharge)</f>
        <v/>
      </c>
      <c r="L73" s="45">
        <f>IF(in_FreeShip=1,0,(L36+L37)*in_ShipCharge)</f>
        <v/>
      </c>
      <c r="M73" s="45">
        <f>IF(in_FreeShip=1,0,(M36+M37)*in_ShipCharge)</f>
        <v/>
      </c>
      <c r="N73" s="45">
        <f>IF(in_FreeShip=1,0,(N36+N37)*in_ShipCharge)</f>
        <v/>
      </c>
      <c r="O73" s="45">
        <f>IF(in_FreeShip=1,0,(O36+O37)*in_ShipCharge)</f>
        <v/>
      </c>
      <c r="P73" s="45">
        <f>IF(in_FreeShip=1,0,(P36+P37)*in_ShipCharge)</f>
        <v/>
      </c>
      <c r="Q73" s="45">
        <f>IF(in_FreeShip=1,0,(Q36+Q37)*in_ShipCharge)</f>
        <v/>
      </c>
      <c r="R73" s="46">
        <f>SUM(C73:Q73)</f>
        <v/>
      </c>
    </row>
    <row r="74">
      <c r="A74" s="26" t="inlineStr">
        <is>
          <t>DTC revenue</t>
        </is>
      </c>
      <c r="C74" s="47">
        <f>SUM(C69:C73)</f>
        <v/>
      </c>
      <c r="D74" s="47">
        <f>SUM(D69:D73)</f>
        <v/>
      </c>
      <c r="E74" s="47">
        <f>SUM(E69:E73)</f>
        <v/>
      </c>
      <c r="F74" s="47">
        <f>SUM(F69:F73)</f>
        <v/>
      </c>
      <c r="G74" s="47">
        <f>SUM(G69:G73)</f>
        <v/>
      </c>
      <c r="H74" s="47">
        <f>SUM(H69:H73)</f>
        <v/>
      </c>
      <c r="I74" s="47">
        <f>SUM(I69:I73)</f>
        <v/>
      </c>
      <c r="J74" s="47">
        <f>SUM(J69:J73)</f>
        <v/>
      </c>
      <c r="K74" s="47">
        <f>SUM(K69:K73)</f>
        <v/>
      </c>
      <c r="L74" s="47">
        <f>SUM(L69:L73)</f>
        <v/>
      </c>
      <c r="M74" s="47">
        <f>SUM(M69:M73)</f>
        <v/>
      </c>
      <c r="N74" s="47">
        <f>SUM(N69:N73)</f>
        <v/>
      </c>
      <c r="O74" s="47">
        <f>SUM(O69:O73)</f>
        <v/>
      </c>
      <c r="P74" s="47">
        <f>SUM(P69:P73)</f>
        <v/>
      </c>
      <c r="Q74" s="47">
        <f>SUM(Q69:Q73)</f>
        <v/>
      </c>
      <c r="R74" s="46">
        <f>SUM(C74:Q74)</f>
        <v/>
      </c>
    </row>
    <row r="75">
      <c r="A75" s="10" t="inlineStr">
        <is>
          <t>Wholesale invoiced (pouches + sticks)</t>
        </is>
      </c>
      <c r="C75" s="45">
        <f>C42*in_WsPouch+C43*in_WsStick</f>
        <v/>
      </c>
      <c r="D75" s="45">
        <f>D42*in_WsPouch+D43*in_WsStick</f>
        <v/>
      </c>
      <c r="E75" s="45">
        <f>E42*in_WsPouch+E43*in_WsStick</f>
        <v/>
      </c>
      <c r="F75" s="45">
        <f>F42*in_WsPouch+F43*in_WsStick</f>
        <v/>
      </c>
      <c r="G75" s="45">
        <f>G42*in_WsPouch+G43*in_WsStick</f>
        <v/>
      </c>
      <c r="H75" s="45">
        <f>H42*in_WsPouch+H43*in_WsStick</f>
        <v/>
      </c>
      <c r="I75" s="45">
        <f>I42*in_WsPouch+I43*in_WsStick</f>
        <v/>
      </c>
      <c r="J75" s="45">
        <f>J42*in_WsPouch+J43*in_WsStick</f>
        <v/>
      </c>
      <c r="K75" s="45">
        <f>K42*in_WsPouch+K43*in_WsStick</f>
        <v/>
      </c>
      <c r="L75" s="45">
        <f>L42*in_WsPouch+L43*in_WsStick</f>
        <v/>
      </c>
      <c r="M75" s="45">
        <f>M42*in_WsPouch+M43*in_WsStick</f>
        <v/>
      </c>
      <c r="N75" s="45">
        <f>N42*in_WsPouch+N43*in_WsStick</f>
        <v/>
      </c>
      <c r="O75" s="45">
        <f>O42*in_WsPouch+O43*in_WsStick</f>
        <v/>
      </c>
      <c r="P75" s="45">
        <f>P42*in_WsPouch+P43*in_WsStick</f>
        <v/>
      </c>
      <c r="Q75" s="45">
        <f>Q42*in_WsPouch+Q43*in_WsStick</f>
        <v/>
      </c>
      <c r="R75" s="46">
        <f>SUM(C75:Q75)</f>
        <v/>
      </c>
    </row>
    <row r="76">
      <c r="A76" s="10" t="inlineStr">
        <is>
          <t>Wholesale cash collected</t>
        </is>
      </c>
      <c r="B76" s="6" t="inlineStr">
        <is>
          <t>Net 30 toggle</t>
        </is>
      </c>
      <c r="C76" s="45">
        <f>IF(in_Net30=1,0,C75)</f>
        <v/>
      </c>
      <c r="D76" s="45">
        <f>IF(in_Net30=1,C75,D75)</f>
        <v/>
      </c>
      <c r="E76" s="45">
        <f>IF(in_Net30=1,D75,E75)</f>
        <v/>
      </c>
      <c r="F76" s="45">
        <f>IF(in_Net30=1,E75,F75)</f>
        <v/>
      </c>
      <c r="G76" s="45">
        <f>IF(in_Net30=1,F75,G75)</f>
        <v/>
      </c>
      <c r="H76" s="45">
        <f>IF(in_Net30=1,G75,H75)</f>
        <v/>
      </c>
      <c r="I76" s="45">
        <f>IF(in_Net30=1,H75,I75)</f>
        <v/>
      </c>
      <c r="J76" s="45">
        <f>IF(in_Net30=1,I75,J75)</f>
        <v/>
      </c>
      <c r="K76" s="45">
        <f>IF(in_Net30=1,J75,K75)</f>
        <v/>
      </c>
      <c r="L76" s="45">
        <f>IF(in_Net30=1,K75,L75)</f>
        <v/>
      </c>
      <c r="M76" s="45">
        <f>IF(in_Net30=1,L75,M75)</f>
        <v/>
      </c>
      <c r="N76" s="45">
        <f>IF(in_Net30=1,M75,N75)</f>
        <v/>
      </c>
      <c r="O76" s="45">
        <f>IF(in_Net30=1,N75,O75)</f>
        <v/>
      </c>
      <c r="P76" s="45">
        <f>IF(in_Net30=1,O75,P75)</f>
        <v/>
      </c>
      <c r="Q76" s="45">
        <f>IF(in_Net30=1,P75,Q75)</f>
        <v/>
      </c>
      <c r="R76" s="46">
        <f>SUM(C76:Q76)</f>
        <v/>
      </c>
    </row>
    <row r="77">
      <c r="A77" s="26" t="inlineStr">
        <is>
          <t>Total cash in</t>
        </is>
      </c>
      <c r="C77" s="47">
        <f>C74+C76</f>
        <v/>
      </c>
      <c r="D77" s="47">
        <f>D74+D76</f>
        <v/>
      </c>
      <c r="E77" s="47">
        <f>E74+E76</f>
        <v/>
      </c>
      <c r="F77" s="47">
        <f>F74+F76</f>
        <v/>
      </c>
      <c r="G77" s="47">
        <f>G74+G76</f>
        <v/>
      </c>
      <c r="H77" s="47">
        <f>H74+H76</f>
        <v/>
      </c>
      <c r="I77" s="47">
        <f>I74+I76</f>
        <v/>
      </c>
      <c r="J77" s="47">
        <f>J74+J76</f>
        <v/>
      </c>
      <c r="K77" s="47">
        <f>K74+K76</f>
        <v/>
      </c>
      <c r="L77" s="47">
        <f>L74+L76</f>
        <v/>
      </c>
      <c r="M77" s="47">
        <f>M74+M76</f>
        <v/>
      </c>
      <c r="N77" s="47">
        <f>N74+N76</f>
        <v/>
      </c>
      <c r="O77" s="47">
        <f>O74+O76</f>
        <v/>
      </c>
      <c r="P77" s="47">
        <f>P74+P76</f>
        <v/>
      </c>
      <c r="Q77" s="47">
        <f>Q74+Q76</f>
        <v/>
      </c>
      <c r="R77" s="46">
        <f>SUM(C77:Q77)</f>
        <v/>
      </c>
    </row>
    <row r="79">
      <c r="A79" s="7" t="inlineStr">
        <is>
          <t>Inventory purchases (cash out)</t>
        </is>
      </c>
      <c r="B79" s="8" t="n"/>
      <c r="C79" s="8" t="n"/>
      <c r="D79" s="8" t="n"/>
      <c r="E79" s="8" t="n"/>
      <c r="F79" s="8" t="n"/>
      <c r="G79" s="8" t="n"/>
      <c r="H79" s="8" t="n"/>
      <c r="I79" s="8" t="n"/>
      <c r="J79" s="8" t="n"/>
      <c r="K79" s="8" t="n"/>
      <c r="L79" s="8" t="n"/>
      <c r="M79" s="8" t="n"/>
      <c r="N79" s="8" t="n"/>
      <c r="O79" s="8" t="n"/>
      <c r="P79" s="8" t="n"/>
      <c r="Q79" s="8" t="n"/>
      <c r="R79" s="8" t="n"/>
    </row>
    <row r="80">
      <c r="A80" s="10" t="inlineStr">
        <is>
          <t>First pouch run (deposit, then balance; less sample credit)</t>
        </is>
      </c>
      <c r="B80" s="6" t="inlineStr">
        <is>
          <t>Mode-dependent</t>
        </is>
      </c>
      <c r="C80" s="45">
        <f>$B$8*$B$6*(IF(EOMONTH(in_PODate,0)=EOMONTH(C$23,0),in_Deposit,0)+IF(EOMONTH(in_BalanceDate,0)=EOMONTH(C$23,0),1-in_Deposit,0))-IF(EOMONTH(in_PODate,0)=EOMONTH(C$23,0),$B$10,0)</f>
        <v/>
      </c>
      <c r="D80" s="45">
        <f>$B$8*$B$6*(IF(EOMONTH(in_PODate,0)=EOMONTH(D$23,0),in_Deposit,0)+IF(EOMONTH(in_BalanceDate,0)=EOMONTH(D$23,0),1-in_Deposit,0))-IF(EOMONTH(in_PODate,0)=EOMONTH(D$23,0),$B$10,0)</f>
        <v/>
      </c>
      <c r="E80" s="45">
        <f>$B$8*$B$6*(IF(EOMONTH(in_PODate,0)=EOMONTH(E$23,0),in_Deposit,0)+IF(EOMONTH(in_BalanceDate,0)=EOMONTH(E$23,0),1-in_Deposit,0))-IF(EOMONTH(in_PODate,0)=EOMONTH(E$23,0),$B$10,0)</f>
        <v/>
      </c>
      <c r="F80" s="45">
        <f>$B$8*$B$6*(IF(EOMONTH(in_PODate,0)=EOMONTH(F$23,0),in_Deposit,0)+IF(EOMONTH(in_BalanceDate,0)=EOMONTH(F$23,0),1-in_Deposit,0))-IF(EOMONTH(in_PODate,0)=EOMONTH(F$23,0),$B$10,0)</f>
        <v/>
      </c>
      <c r="G80" s="45">
        <f>$B$8*$B$6*(IF(EOMONTH(in_PODate,0)=EOMONTH(G$23,0),in_Deposit,0)+IF(EOMONTH(in_BalanceDate,0)=EOMONTH(G$23,0),1-in_Deposit,0))-IF(EOMONTH(in_PODate,0)=EOMONTH(G$23,0),$B$10,0)</f>
        <v/>
      </c>
      <c r="H80" s="45">
        <f>$B$8*$B$6*(IF(EOMONTH(in_PODate,0)=EOMONTH(H$23,0),in_Deposit,0)+IF(EOMONTH(in_BalanceDate,0)=EOMONTH(H$23,0),1-in_Deposit,0))-IF(EOMONTH(in_PODate,0)=EOMONTH(H$23,0),$B$10,0)</f>
        <v/>
      </c>
      <c r="I80" s="45">
        <f>$B$8*$B$6*(IF(EOMONTH(in_PODate,0)=EOMONTH(I$23,0),in_Deposit,0)+IF(EOMONTH(in_BalanceDate,0)=EOMONTH(I$23,0),1-in_Deposit,0))-IF(EOMONTH(in_PODate,0)=EOMONTH(I$23,0),$B$10,0)</f>
        <v/>
      </c>
      <c r="J80" s="45">
        <f>$B$8*$B$6*(IF(EOMONTH(in_PODate,0)=EOMONTH(J$23,0),in_Deposit,0)+IF(EOMONTH(in_BalanceDate,0)=EOMONTH(J$23,0),1-in_Deposit,0))-IF(EOMONTH(in_PODate,0)=EOMONTH(J$23,0),$B$10,0)</f>
        <v/>
      </c>
      <c r="K80" s="45">
        <f>$B$8*$B$6*(IF(EOMONTH(in_PODate,0)=EOMONTH(K$23,0),in_Deposit,0)+IF(EOMONTH(in_BalanceDate,0)=EOMONTH(K$23,0),1-in_Deposit,0))-IF(EOMONTH(in_PODate,0)=EOMONTH(K$23,0),$B$10,0)</f>
        <v/>
      </c>
      <c r="L80" s="45">
        <f>$B$8*$B$6*(IF(EOMONTH(in_PODate,0)=EOMONTH(L$23,0),in_Deposit,0)+IF(EOMONTH(in_BalanceDate,0)=EOMONTH(L$23,0),1-in_Deposit,0))-IF(EOMONTH(in_PODate,0)=EOMONTH(L$23,0),$B$10,0)</f>
        <v/>
      </c>
      <c r="M80" s="45">
        <f>$B$8*$B$6*(IF(EOMONTH(in_PODate,0)=EOMONTH(M$23,0),in_Deposit,0)+IF(EOMONTH(in_BalanceDate,0)=EOMONTH(M$23,0),1-in_Deposit,0))-IF(EOMONTH(in_PODate,0)=EOMONTH(M$23,0),$B$10,0)</f>
        <v/>
      </c>
      <c r="N80" s="45">
        <f>$B$8*$B$6*(IF(EOMONTH(in_PODate,0)=EOMONTH(N$23,0),in_Deposit,0)+IF(EOMONTH(in_BalanceDate,0)=EOMONTH(N$23,0),1-in_Deposit,0))-IF(EOMONTH(in_PODate,0)=EOMONTH(N$23,0),$B$10,0)</f>
        <v/>
      </c>
      <c r="O80" s="45">
        <f>$B$8*$B$6*(IF(EOMONTH(in_PODate,0)=EOMONTH(O$23,0),in_Deposit,0)+IF(EOMONTH(in_BalanceDate,0)=EOMONTH(O$23,0),1-in_Deposit,0))-IF(EOMONTH(in_PODate,0)=EOMONTH(O$23,0),$B$10,0)</f>
        <v/>
      </c>
      <c r="P80" s="45">
        <f>$B$8*$B$6*(IF(EOMONTH(in_PODate,0)=EOMONTH(P$23,0),in_Deposit,0)+IF(EOMONTH(in_BalanceDate,0)=EOMONTH(P$23,0),1-in_Deposit,0))-IF(EOMONTH(in_PODate,0)=EOMONTH(P$23,0),$B$10,0)</f>
        <v/>
      </c>
      <c r="Q80" s="45">
        <f>$B$8*$B$6*(IF(EOMONTH(in_PODate,0)=EOMONTH(Q$23,0),in_Deposit,0)+IF(EOMONTH(in_BalanceDate,0)=EOMONTH(Q$23,0),1-in_Deposit,0))-IF(EOMONTH(in_PODate,0)=EOMONTH(Q$23,0),$B$10,0)</f>
        <v/>
      </c>
      <c r="R80" s="46">
        <f>SUM(C80:Q80)</f>
        <v/>
      </c>
    </row>
    <row r="81">
      <c r="A81" s="10" t="inlineStr">
        <is>
          <t>First protein stick run (deposit, then balance)</t>
        </is>
      </c>
      <c r="C81" s="45">
        <f>$B$9*$B$7*(IF(EOMONTH(in_PODate,0)=EOMONTH(C$23,0),in_Deposit,0)+IF(EOMONTH(in_BalanceDate,0)=EOMONTH(C$23,0),1-in_Deposit,0))</f>
        <v/>
      </c>
      <c r="D81" s="45">
        <f>$B$9*$B$7*(IF(EOMONTH(in_PODate,0)=EOMONTH(D$23,0),in_Deposit,0)+IF(EOMONTH(in_BalanceDate,0)=EOMONTH(D$23,0),1-in_Deposit,0))</f>
        <v/>
      </c>
      <c r="E81" s="45">
        <f>$B$9*$B$7*(IF(EOMONTH(in_PODate,0)=EOMONTH(E$23,0),in_Deposit,0)+IF(EOMONTH(in_BalanceDate,0)=EOMONTH(E$23,0),1-in_Deposit,0))</f>
        <v/>
      </c>
      <c r="F81" s="45">
        <f>$B$9*$B$7*(IF(EOMONTH(in_PODate,0)=EOMONTH(F$23,0),in_Deposit,0)+IF(EOMONTH(in_BalanceDate,0)=EOMONTH(F$23,0),1-in_Deposit,0))</f>
        <v/>
      </c>
      <c r="G81" s="45">
        <f>$B$9*$B$7*(IF(EOMONTH(in_PODate,0)=EOMONTH(G$23,0),in_Deposit,0)+IF(EOMONTH(in_BalanceDate,0)=EOMONTH(G$23,0),1-in_Deposit,0))</f>
        <v/>
      </c>
      <c r="H81" s="45">
        <f>$B$9*$B$7*(IF(EOMONTH(in_PODate,0)=EOMONTH(H$23,0),in_Deposit,0)+IF(EOMONTH(in_BalanceDate,0)=EOMONTH(H$23,0),1-in_Deposit,0))</f>
        <v/>
      </c>
      <c r="I81" s="45">
        <f>$B$9*$B$7*(IF(EOMONTH(in_PODate,0)=EOMONTH(I$23,0),in_Deposit,0)+IF(EOMONTH(in_BalanceDate,0)=EOMONTH(I$23,0),1-in_Deposit,0))</f>
        <v/>
      </c>
      <c r="J81" s="45">
        <f>$B$9*$B$7*(IF(EOMONTH(in_PODate,0)=EOMONTH(J$23,0),in_Deposit,0)+IF(EOMONTH(in_BalanceDate,0)=EOMONTH(J$23,0),1-in_Deposit,0))</f>
        <v/>
      </c>
      <c r="K81" s="45">
        <f>$B$9*$B$7*(IF(EOMONTH(in_PODate,0)=EOMONTH(K$23,0),in_Deposit,0)+IF(EOMONTH(in_BalanceDate,0)=EOMONTH(K$23,0),1-in_Deposit,0))</f>
        <v/>
      </c>
      <c r="L81" s="45">
        <f>$B$9*$B$7*(IF(EOMONTH(in_PODate,0)=EOMONTH(L$23,0),in_Deposit,0)+IF(EOMONTH(in_BalanceDate,0)=EOMONTH(L$23,0),1-in_Deposit,0))</f>
        <v/>
      </c>
      <c r="M81" s="45">
        <f>$B$9*$B$7*(IF(EOMONTH(in_PODate,0)=EOMONTH(M$23,0),in_Deposit,0)+IF(EOMONTH(in_BalanceDate,0)=EOMONTH(M$23,0),1-in_Deposit,0))</f>
        <v/>
      </c>
      <c r="N81" s="45">
        <f>$B$9*$B$7*(IF(EOMONTH(in_PODate,0)=EOMONTH(N$23,0),in_Deposit,0)+IF(EOMONTH(in_BalanceDate,0)=EOMONTH(N$23,0),1-in_Deposit,0))</f>
        <v/>
      </c>
      <c r="O81" s="45">
        <f>$B$9*$B$7*(IF(EOMONTH(in_PODate,0)=EOMONTH(O$23,0),in_Deposit,0)+IF(EOMONTH(in_BalanceDate,0)=EOMONTH(O$23,0),1-in_Deposit,0))</f>
        <v/>
      </c>
      <c r="P81" s="45">
        <f>$B$9*$B$7*(IF(EOMONTH(in_PODate,0)=EOMONTH(P$23,0),in_Deposit,0)+IF(EOMONTH(in_BalanceDate,0)=EOMONTH(P$23,0),1-in_Deposit,0))</f>
        <v/>
      </c>
      <c r="Q81" s="45">
        <f>$B$9*$B$7*(IF(EOMONTH(in_PODate,0)=EOMONTH(Q$23,0),in_Deposit,0)+IF(EOMONTH(in_BalanceDate,0)=EOMONTH(Q$23,0),1-in_Deposit,0))</f>
        <v/>
      </c>
      <c r="R81" s="46">
        <f>SUM(C81:Q81)</f>
        <v/>
      </c>
    </row>
    <row r="82">
      <c r="A82" s="10" t="inlineStr">
        <is>
          <t>Second flavour first run</t>
        </is>
      </c>
      <c r="C82" s="45">
        <f>C49*$B$6</f>
        <v/>
      </c>
      <c r="D82" s="45">
        <f>D49*$B$6</f>
        <v/>
      </c>
      <c r="E82" s="45">
        <f>E49*$B$6</f>
        <v/>
      </c>
      <c r="F82" s="45">
        <f>F49*$B$6</f>
        <v/>
      </c>
      <c r="G82" s="45">
        <f>G49*$B$6</f>
        <v/>
      </c>
      <c r="H82" s="45">
        <f>H49*$B$6</f>
        <v/>
      </c>
      <c r="I82" s="45">
        <f>I49*$B$6</f>
        <v/>
      </c>
      <c r="J82" s="45">
        <f>J49*$B$6</f>
        <v/>
      </c>
      <c r="K82" s="45">
        <f>K49*$B$6</f>
        <v/>
      </c>
      <c r="L82" s="45">
        <f>L49*$B$6</f>
        <v/>
      </c>
      <c r="M82" s="45">
        <f>M49*$B$6</f>
        <v/>
      </c>
      <c r="N82" s="45">
        <f>N49*$B$6</f>
        <v/>
      </c>
      <c r="O82" s="45">
        <f>O49*$B$6</f>
        <v/>
      </c>
      <c r="P82" s="45">
        <f>P49*$B$6</f>
        <v/>
      </c>
      <c r="Q82" s="45">
        <f>Q49*$B$6</f>
        <v/>
      </c>
      <c r="R82" s="46">
        <f>SUM(C82:Q82)</f>
        <v/>
      </c>
    </row>
    <row r="83">
      <c r="A83" s="10" t="inlineStr">
        <is>
          <t>Reorders placed (pouches and sticks, paid in full when placed)</t>
        </is>
      </c>
      <c r="C83" s="45">
        <f>C52*$B$6+C63*$B$7</f>
        <v/>
      </c>
      <c r="D83" s="45">
        <f>D52*$B$6+D63*$B$7</f>
        <v/>
      </c>
      <c r="E83" s="45">
        <f>E52*$B$6+E63*$B$7</f>
        <v/>
      </c>
      <c r="F83" s="45">
        <f>F52*$B$6+F63*$B$7</f>
        <v/>
      </c>
      <c r="G83" s="45">
        <f>G52*$B$6+G63*$B$7</f>
        <v/>
      </c>
      <c r="H83" s="45">
        <f>H52*$B$6+H63*$B$7</f>
        <v/>
      </c>
      <c r="I83" s="45">
        <f>I52*$B$6+I63*$B$7</f>
        <v/>
      </c>
      <c r="J83" s="45">
        <f>J52*$B$6+J63*$B$7</f>
        <v/>
      </c>
      <c r="K83" s="45">
        <f>K52*$B$6+K63*$B$7</f>
        <v/>
      </c>
      <c r="L83" s="45">
        <f>L52*$B$6+L63*$B$7</f>
        <v/>
      </c>
      <c r="M83" s="45">
        <f>M52*$B$6+M63*$B$7</f>
        <v/>
      </c>
      <c r="N83" s="45">
        <f>N52*$B$6+N63*$B$7</f>
        <v/>
      </c>
      <c r="O83" s="45">
        <f>O52*$B$6+O63*$B$7</f>
        <v/>
      </c>
      <c r="P83" s="45">
        <f>P52*$B$6+P63*$B$7</f>
        <v/>
      </c>
      <c r="Q83" s="45">
        <f>Q52*$B$6+Q63*$B$7</f>
        <v/>
      </c>
      <c r="R83" s="46">
        <f>SUM(C83:Q83)</f>
        <v/>
      </c>
    </row>
    <row r="84">
      <c r="A84" s="26" t="inlineStr">
        <is>
          <t>Total inventory purchases</t>
        </is>
      </c>
      <c r="C84" s="47">
        <f>SUM(C80:C83)</f>
        <v/>
      </c>
      <c r="D84" s="47">
        <f>SUM(D80:D83)</f>
        <v/>
      </c>
      <c r="E84" s="47">
        <f>SUM(E80:E83)</f>
        <v/>
      </c>
      <c r="F84" s="47">
        <f>SUM(F80:F83)</f>
        <v/>
      </c>
      <c r="G84" s="47">
        <f>SUM(G80:G83)</f>
        <v/>
      </c>
      <c r="H84" s="47">
        <f>SUM(H80:H83)</f>
        <v/>
      </c>
      <c r="I84" s="47">
        <f>SUM(I80:I83)</f>
        <v/>
      </c>
      <c r="J84" s="47">
        <f>SUM(J80:J83)</f>
        <v/>
      </c>
      <c r="K84" s="47">
        <f>SUM(K80:K83)</f>
        <v/>
      </c>
      <c r="L84" s="47">
        <f>SUM(L80:L83)</f>
        <v/>
      </c>
      <c r="M84" s="47">
        <f>SUM(M80:M83)</f>
        <v/>
      </c>
      <c r="N84" s="47">
        <f>SUM(N80:N83)</f>
        <v/>
      </c>
      <c r="O84" s="47">
        <f>SUM(O80:O83)</f>
        <v/>
      </c>
      <c r="P84" s="47">
        <f>SUM(P80:P83)</f>
        <v/>
      </c>
      <c r="Q84" s="47">
        <f>SUM(Q80:Q83)</f>
        <v/>
      </c>
      <c r="R84" s="46">
        <f>SUM(C84:Q84)</f>
        <v/>
      </c>
    </row>
    <row r="86">
      <c r="A86" s="7" t="inlineStr">
        <is>
          <t>Variable costs (cash out)</t>
        </is>
      </c>
      <c r="B86" s="8" t="n"/>
      <c r="C86" s="8" t="n"/>
      <c r="D86" s="8" t="n"/>
      <c r="E86" s="8" t="n"/>
      <c r="F86" s="8" t="n"/>
      <c r="G86" s="8" t="n"/>
      <c r="H86" s="8" t="n"/>
      <c r="I86" s="8" t="n"/>
      <c r="J86" s="8" t="n"/>
      <c r="K86" s="8" t="n"/>
      <c r="L86" s="8" t="n"/>
      <c r="M86" s="8" t="n"/>
      <c r="N86" s="8" t="n"/>
      <c r="O86" s="8" t="n"/>
      <c r="P86" s="8" t="n"/>
      <c r="Q86" s="8" t="n"/>
      <c r="R86" s="8" t="n"/>
    </row>
    <row r="87">
      <c r="A87" s="10" t="inlineStr">
        <is>
          <t>DTC shipping and packing</t>
        </is>
      </c>
      <c r="C87" s="45">
        <f>(C36+C37)*in_ShipOrder</f>
        <v/>
      </c>
      <c r="D87" s="45">
        <f>(D36+D37)*in_ShipOrder</f>
        <v/>
      </c>
      <c r="E87" s="45">
        <f>(E36+E37)*in_ShipOrder</f>
        <v/>
      </c>
      <c r="F87" s="45">
        <f>(F36+F37)*in_ShipOrder</f>
        <v/>
      </c>
      <c r="G87" s="45">
        <f>(G36+G37)*in_ShipOrder</f>
        <v/>
      </c>
      <c r="H87" s="45">
        <f>(H36+H37)*in_ShipOrder</f>
        <v/>
      </c>
      <c r="I87" s="45">
        <f>(I36+I37)*in_ShipOrder</f>
        <v/>
      </c>
      <c r="J87" s="45">
        <f>(J36+J37)*in_ShipOrder</f>
        <v/>
      </c>
      <c r="K87" s="45">
        <f>(K36+K37)*in_ShipOrder</f>
        <v/>
      </c>
      <c r="L87" s="45">
        <f>(L36+L37)*in_ShipOrder</f>
        <v/>
      </c>
      <c r="M87" s="45">
        <f>(M36+M37)*in_ShipOrder</f>
        <v/>
      </c>
      <c r="N87" s="45">
        <f>(N36+N37)*in_ShipOrder</f>
        <v/>
      </c>
      <c r="O87" s="45">
        <f>(O36+O37)*in_ShipOrder</f>
        <v/>
      </c>
      <c r="P87" s="45">
        <f>(P36+P37)*in_ShipOrder</f>
        <v/>
      </c>
      <c r="Q87" s="45">
        <f>(Q36+Q37)*in_ShipOrder</f>
        <v/>
      </c>
      <c r="R87" s="46">
        <f>SUM(C87:Q87)</f>
        <v/>
      </c>
    </row>
    <row r="88">
      <c r="A88" s="10" t="inlineStr">
        <is>
          <t>Freight to stores</t>
        </is>
      </c>
      <c r="C88" s="45">
        <f>C42*in_FreightPouch+C43*in_FreightStick</f>
        <v/>
      </c>
      <c r="D88" s="45">
        <f>D42*in_FreightPouch+D43*in_FreightStick</f>
        <v/>
      </c>
      <c r="E88" s="45">
        <f>E42*in_FreightPouch+E43*in_FreightStick</f>
        <v/>
      </c>
      <c r="F88" s="45">
        <f>F42*in_FreightPouch+F43*in_FreightStick</f>
        <v/>
      </c>
      <c r="G88" s="45">
        <f>G42*in_FreightPouch+G43*in_FreightStick</f>
        <v/>
      </c>
      <c r="H88" s="45">
        <f>H42*in_FreightPouch+H43*in_FreightStick</f>
        <v/>
      </c>
      <c r="I88" s="45">
        <f>I42*in_FreightPouch+I43*in_FreightStick</f>
        <v/>
      </c>
      <c r="J88" s="45">
        <f>J42*in_FreightPouch+J43*in_FreightStick</f>
        <v/>
      </c>
      <c r="K88" s="45">
        <f>K42*in_FreightPouch+K43*in_FreightStick</f>
        <v/>
      </c>
      <c r="L88" s="45">
        <f>L42*in_FreightPouch+L43*in_FreightStick</f>
        <v/>
      </c>
      <c r="M88" s="45">
        <f>M42*in_FreightPouch+M43*in_FreightStick</f>
        <v/>
      </c>
      <c r="N88" s="45">
        <f>N42*in_FreightPouch+N43*in_FreightStick</f>
        <v/>
      </c>
      <c r="O88" s="45">
        <f>O42*in_FreightPouch+O43*in_FreightStick</f>
        <v/>
      </c>
      <c r="P88" s="45">
        <f>P42*in_FreightPouch+P43*in_FreightStick</f>
        <v/>
      </c>
      <c r="Q88" s="45">
        <f>Q42*in_FreightPouch+Q43*in_FreightStick</f>
        <v/>
      </c>
      <c r="R88" s="46">
        <f>SUM(C88:Q88)</f>
        <v/>
      </c>
    </row>
    <row r="89">
      <c r="A89" s="10" t="inlineStr">
        <is>
          <t>Card fees</t>
        </is>
      </c>
      <c r="C89" s="45">
        <f>C74*in_CardPct+(C36+C37)*in_CardFixed</f>
        <v/>
      </c>
      <c r="D89" s="45">
        <f>D74*in_CardPct+(D36+D37)*in_CardFixed</f>
        <v/>
      </c>
      <c r="E89" s="45">
        <f>E74*in_CardPct+(E36+E37)*in_CardFixed</f>
        <v/>
      </c>
      <c r="F89" s="45">
        <f>F74*in_CardPct+(F36+F37)*in_CardFixed</f>
        <v/>
      </c>
      <c r="G89" s="45">
        <f>G74*in_CardPct+(G36+G37)*in_CardFixed</f>
        <v/>
      </c>
      <c r="H89" s="45">
        <f>H74*in_CardPct+(H36+H37)*in_CardFixed</f>
        <v/>
      </c>
      <c r="I89" s="45">
        <f>I74*in_CardPct+(I36+I37)*in_CardFixed</f>
        <v/>
      </c>
      <c r="J89" s="45">
        <f>J74*in_CardPct+(J36+J37)*in_CardFixed</f>
        <v/>
      </c>
      <c r="K89" s="45">
        <f>K74*in_CardPct+(K36+K37)*in_CardFixed</f>
        <v/>
      </c>
      <c r="L89" s="45">
        <f>L74*in_CardPct+(L36+L37)*in_CardFixed</f>
        <v/>
      </c>
      <c r="M89" s="45">
        <f>M74*in_CardPct+(M36+M37)*in_CardFixed</f>
        <v/>
      </c>
      <c r="N89" s="45">
        <f>N74*in_CardPct+(N36+N37)*in_CardFixed</f>
        <v/>
      </c>
      <c r="O89" s="45">
        <f>O74*in_CardPct+(O36+O37)*in_CardFixed</f>
        <v/>
      </c>
      <c r="P89" s="45">
        <f>P74*in_CardPct+(P36+P37)*in_CardFixed</f>
        <v/>
      </c>
      <c r="Q89" s="45">
        <f>Q74*in_CardPct+(Q36+Q37)*in_CardFixed</f>
        <v/>
      </c>
      <c r="R89" s="46">
        <f>SUM(C89:Q89)</f>
        <v/>
      </c>
    </row>
    <row r="90">
      <c r="A90" s="10" t="inlineStr">
        <is>
          <t>Founding offer free shakers</t>
        </is>
      </c>
      <c r="C90" s="45">
        <f>C27*in_ShakerCost</f>
        <v/>
      </c>
      <c r="D90" s="45">
        <f>D27*in_ShakerCost</f>
        <v/>
      </c>
      <c r="E90" s="45">
        <f>E27*in_ShakerCost</f>
        <v/>
      </c>
      <c r="F90" s="45">
        <f>F27*in_ShakerCost</f>
        <v/>
      </c>
      <c r="G90" s="45">
        <f>G27*in_ShakerCost</f>
        <v/>
      </c>
      <c r="H90" s="45">
        <f>H27*in_ShakerCost</f>
        <v/>
      </c>
      <c r="I90" s="45">
        <f>I27*in_ShakerCost</f>
        <v/>
      </c>
      <c r="J90" s="45">
        <f>J27*in_ShakerCost</f>
        <v/>
      </c>
      <c r="K90" s="45">
        <f>K27*in_ShakerCost</f>
        <v/>
      </c>
      <c r="L90" s="45">
        <f>L27*in_ShakerCost</f>
        <v/>
      </c>
      <c r="M90" s="45">
        <f>M27*in_ShakerCost</f>
        <v/>
      </c>
      <c r="N90" s="45">
        <f>N27*in_ShakerCost</f>
        <v/>
      </c>
      <c r="O90" s="45">
        <f>O27*in_ShakerCost</f>
        <v/>
      </c>
      <c r="P90" s="45">
        <f>P27*in_ShakerCost</f>
        <v/>
      </c>
      <c r="Q90" s="45">
        <f>Q27*in_ShakerCost</f>
        <v/>
      </c>
      <c r="R90" s="46">
        <f>SUM(C90:Q90)</f>
        <v/>
      </c>
    </row>
    <row r="91">
      <c r="A91" s="26" t="inlineStr">
        <is>
          <t>Total variable costs</t>
        </is>
      </c>
      <c r="C91" s="47">
        <f>SUM(C87:C90)</f>
        <v/>
      </c>
      <c r="D91" s="47">
        <f>SUM(D87:D90)</f>
        <v/>
      </c>
      <c r="E91" s="47">
        <f>SUM(E87:E90)</f>
        <v/>
      </c>
      <c r="F91" s="47">
        <f>SUM(F87:F90)</f>
        <v/>
      </c>
      <c r="G91" s="47">
        <f>SUM(G87:G90)</f>
        <v/>
      </c>
      <c r="H91" s="47">
        <f>SUM(H87:H90)</f>
        <v/>
      </c>
      <c r="I91" s="47">
        <f>SUM(I87:I90)</f>
        <v/>
      </c>
      <c r="J91" s="47">
        <f>SUM(J87:J90)</f>
        <v/>
      </c>
      <c r="K91" s="47">
        <f>SUM(K87:K90)</f>
        <v/>
      </c>
      <c r="L91" s="47">
        <f>SUM(L87:L90)</f>
        <v/>
      </c>
      <c r="M91" s="47">
        <f>SUM(M87:M90)</f>
        <v/>
      </c>
      <c r="N91" s="47">
        <f>SUM(N87:N90)</f>
        <v/>
      </c>
      <c r="O91" s="47">
        <f>SUM(O87:O90)</f>
        <v/>
      </c>
      <c r="P91" s="47">
        <f>SUM(P87:P90)</f>
        <v/>
      </c>
      <c r="Q91" s="47">
        <f>SUM(Q87:Q90)</f>
        <v/>
      </c>
      <c r="R91" s="46">
        <f>SUM(C91:Q91)</f>
        <v/>
      </c>
    </row>
    <row r="93">
      <c r="A93" s="7" t="inlineStr">
        <is>
          <t>Marketing (cash out)</t>
        </is>
      </c>
      <c r="B93" s="8" t="n"/>
      <c r="C93" s="8" t="n"/>
      <c r="D93" s="8" t="n"/>
      <c r="E93" s="8" t="n"/>
      <c r="F93" s="8" t="n"/>
      <c r="G93" s="8" t="n"/>
      <c r="H93" s="8" t="n"/>
      <c r="I93" s="8" t="n"/>
      <c r="J93" s="8" t="n"/>
      <c r="K93" s="8" t="n"/>
      <c r="L93" s="8" t="n"/>
      <c r="M93" s="8" t="n"/>
      <c r="N93" s="8" t="n"/>
      <c r="O93" s="8" t="n"/>
      <c r="P93" s="8" t="n"/>
      <c r="Q93" s="8" t="n"/>
      <c r="R93" s="8" t="n"/>
    </row>
    <row r="94">
      <c r="A94" s="10" t="inlineStr">
        <is>
          <t>Paid acquisition (paid new customers x CAC)</t>
        </is>
      </c>
      <c r="C94" s="45">
        <f>C29*in_CAC</f>
        <v/>
      </c>
      <c r="D94" s="45">
        <f>D29*in_CAC</f>
        <v/>
      </c>
      <c r="E94" s="45">
        <f>E29*in_CAC</f>
        <v/>
      </c>
      <c r="F94" s="45">
        <f>F29*in_CAC</f>
        <v/>
      </c>
      <c r="G94" s="45">
        <f>G29*in_CAC</f>
        <v/>
      </c>
      <c r="H94" s="45">
        <f>H29*in_CAC</f>
        <v/>
      </c>
      <c r="I94" s="45">
        <f>I29*in_CAC</f>
        <v/>
      </c>
      <c r="J94" s="45">
        <f>J29*in_CAC</f>
        <v/>
      </c>
      <c r="K94" s="45">
        <f>K29*in_CAC</f>
        <v/>
      </c>
      <c r="L94" s="45">
        <f>L29*in_CAC</f>
        <v/>
      </c>
      <c r="M94" s="45">
        <f>M29*in_CAC</f>
        <v/>
      </c>
      <c r="N94" s="45">
        <f>N29*in_CAC</f>
        <v/>
      </c>
      <c r="O94" s="45">
        <f>O29*in_CAC</f>
        <v/>
      </c>
      <c r="P94" s="45">
        <f>P29*in_CAC</f>
        <v/>
      </c>
      <c r="Q94" s="45">
        <f>Q29*in_CAC</f>
        <v/>
      </c>
      <c r="R94" s="46">
        <f>SUM(C94:Q94)</f>
        <v/>
      </c>
    </row>
    <row r="95">
      <c r="A95" s="10" t="inlineStr">
        <is>
          <t>Sampling and content</t>
        </is>
      </c>
      <c r="C95" s="45">
        <f>IF(C$23&gt;=DATE(YEAR(in_SampleStart),MONTH(in_SampleStart),1),in_SampleBudget,0)</f>
        <v/>
      </c>
      <c r="D95" s="45">
        <f>IF(D$23&gt;=DATE(YEAR(in_SampleStart),MONTH(in_SampleStart),1),in_SampleBudget,0)</f>
        <v/>
      </c>
      <c r="E95" s="45">
        <f>IF(E$23&gt;=DATE(YEAR(in_SampleStart),MONTH(in_SampleStart),1),in_SampleBudget,0)</f>
        <v/>
      </c>
      <c r="F95" s="45">
        <f>IF(F$23&gt;=DATE(YEAR(in_SampleStart),MONTH(in_SampleStart),1),in_SampleBudget,0)</f>
        <v/>
      </c>
      <c r="G95" s="45">
        <f>IF(G$23&gt;=DATE(YEAR(in_SampleStart),MONTH(in_SampleStart),1),in_SampleBudget,0)</f>
        <v/>
      </c>
      <c r="H95" s="45">
        <f>IF(H$23&gt;=DATE(YEAR(in_SampleStart),MONTH(in_SampleStart),1),in_SampleBudget,0)</f>
        <v/>
      </c>
      <c r="I95" s="45">
        <f>IF(I$23&gt;=DATE(YEAR(in_SampleStart),MONTH(in_SampleStart),1),in_SampleBudget,0)</f>
        <v/>
      </c>
      <c r="J95" s="45">
        <f>IF(J$23&gt;=DATE(YEAR(in_SampleStart),MONTH(in_SampleStart),1),in_SampleBudget,0)</f>
        <v/>
      </c>
      <c r="K95" s="45">
        <f>IF(K$23&gt;=DATE(YEAR(in_SampleStart),MONTH(in_SampleStart),1),in_SampleBudget,0)</f>
        <v/>
      </c>
      <c r="L95" s="45">
        <f>IF(L$23&gt;=DATE(YEAR(in_SampleStart),MONTH(in_SampleStart),1),in_SampleBudget,0)</f>
        <v/>
      </c>
      <c r="M95" s="45">
        <f>IF(M$23&gt;=DATE(YEAR(in_SampleStart),MONTH(in_SampleStart),1),in_SampleBudget,0)</f>
        <v/>
      </c>
      <c r="N95" s="45">
        <f>IF(N$23&gt;=DATE(YEAR(in_SampleStart),MONTH(in_SampleStart),1),in_SampleBudget,0)</f>
        <v/>
      </c>
      <c r="O95" s="45">
        <f>IF(O$23&gt;=DATE(YEAR(in_SampleStart),MONTH(in_SampleStart),1),in_SampleBudget,0)</f>
        <v/>
      </c>
      <c r="P95" s="45">
        <f>IF(P$23&gt;=DATE(YEAR(in_SampleStart),MONTH(in_SampleStart),1),in_SampleBudget,0)</f>
        <v/>
      </c>
      <c r="Q95" s="45">
        <f>IF(Q$23&gt;=DATE(YEAR(in_SampleStart),MONTH(in_SampleStart),1),in_SampleBudget,0)</f>
        <v/>
      </c>
      <c r="R95" s="46">
        <f>SUM(C95:Q95)</f>
        <v/>
      </c>
    </row>
    <row r="96">
      <c r="A96" s="26" t="inlineStr">
        <is>
          <t>Total marketing</t>
        </is>
      </c>
      <c r="C96" s="47">
        <f>C94+C95</f>
        <v/>
      </c>
      <c r="D96" s="47">
        <f>D94+D95</f>
        <v/>
      </c>
      <c r="E96" s="47">
        <f>E94+E95</f>
        <v/>
      </c>
      <c r="F96" s="47">
        <f>F94+F95</f>
        <v/>
      </c>
      <c r="G96" s="47">
        <f>G94+G95</f>
        <v/>
      </c>
      <c r="H96" s="47">
        <f>H94+H95</f>
        <v/>
      </c>
      <c r="I96" s="47">
        <f>I94+I95</f>
        <v/>
      </c>
      <c r="J96" s="47">
        <f>J94+J95</f>
        <v/>
      </c>
      <c r="K96" s="47">
        <f>K94+K95</f>
        <v/>
      </c>
      <c r="L96" s="47">
        <f>L94+L95</f>
        <v/>
      </c>
      <c r="M96" s="47">
        <f>M94+M95</f>
        <v/>
      </c>
      <c r="N96" s="47">
        <f>N94+N95</f>
        <v/>
      </c>
      <c r="O96" s="47">
        <f>O94+O95</f>
        <v/>
      </c>
      <c r="P96" s="47">
        <f>P94+P95</f>
        <v/>
      </c>
      <c r="Q96" s="47">
        <f>Q94+Q95</f>
        <v/>
      </c>
      <c r="R96" s="46">
        <f>SUM(C96:Q96)</f>
        <v/>
      </c>
    </row>
    <row r="98">
      <c r="A98" s="7" t="inlineStr">
        <is>
          <t>Fixed costs (cash out)</t>
        </is>
      </c>
      <c r="B98" s="8" t="n"/>
      <c r="C98" s="8" t="n"/>
      <c r="D98" s="8" t="n"/>
      <c r="E98" s="8" t="n"/>
      <c r="F98" s="8" t="n"/>
      <c r="G98" s="8" t="n"/>
      <c r="H98" s="8" t="n"/>
      <c r="I98" s="8" t="n"/>
      <c r="J98" s="8" t="n"/>
      <c r="K98" s="8" t="n"/>
      <c r="L98" s="8" t="n"/>
      <c r="M98" s="8" t="n"/>
      <c r="N98" s="8" t="n"/>
      <c r="O98" s="8" t="n"/>
      <c r="P98" s="8" t="n"/>
      <c r="Q98" s="8" t="n"/>
      <c r="R98" s="8" t="n"/>
    </row>
    <row r="99">
      <c r="A99" s="10" t="inlineStr">
        <is>
          <t>Shopify Basic</t>
        </is>
      </c>
      <c r="C99" s="45">
        <f>IF(C$23&gt;=DATE(YEAR(in_FxShopify_Start),MONTH(in_FxShopify_Start),1),in_FxShopify,0)</f>
        <v/>
      </c>
      <c r="D99" s="45">
        <f>IF(D$23&gt;=DATE(YEAR(in_FxShopify_Start),MONTH(in_FxShopify_Start),1),in_FxShopify,0)</f>
        <v/>
      </c>
      <c r="E99" s="45">
        <f>IF(E$23&gt;=DATE(YEAR(in_FxShopify_Start),MONTH(in_FxShopify_Start),1),in_FxShopify,0)</f>
        <v/>
      </c>
      <c r="F99" s="45">
        <f>IF(F$23&gt;=DATE(YEAR(in_FxShopify_Start),MONTH(in_FxShopify_Start),1),in_FxShopify,0)</f>
        <v/>
      </c>
      <c r="G99" s="45">
        <f>IF(G$23&gt;=DATE(YEAR(in_FxShopify_Start),MONTH(in_FxShopify_Start),1),in_FxShopify,0)</f>
        <v/>
      </c>
      <c r="H99" s="45">
        <f>IF(H$23&gt;=DATE(YEAR(in_FxShopify_Start),MONTH(in_FxShopify_Start),1),in_FxShopify,0)</f>
        <v/>
      </c>
      <c r="I99" s="45">
        <f>IF(I$23&gt;=DATE(YEAR(in_FxShopify_Start),MONTH(in_FxShopify_Start),1),in_FxShopify,0)</f>
        <v/>
      </c>
      <c r="J99" s="45">
        <f>IF(J$23&gt;=DATE(YEAR(in_FxShopify_Start),MONTH(in_FxShopify_Start),1),in_FxShopify,0)</f>
        <v/>
      </c>
      <c r="K99" s="45">
        <f>IF(K$23&gt;=DATE(YEAR(in_FxShopify_Start),MONTH(in_FxShopify_Start),1),in_FxShopify,0)</f>
        <v/>
      </c>
      <c r="L99" s="45">
        <f>IF(L$23&gt;=DATE(YEAR(in_FxShopify_Start),MONTH(in_FxShopify_Start),1),in_FxShopify,0)</f>
        <v/>
      </c>
      <c r="M99" s="45">
        <f>IF(M$23&gt;=DATE(YEAR(in_FxShopify_Start),MONTH(in_FxShopify_Start),1),in_FxShopify,0)</f>
        <v/>
      </c>
      <c r="N99" s="45">
        <f>IF(N$23&gt;=DATE(YEAR(in_FxShopify_Start),MONTH(in_FxShopify_Start),1),in_FxShopify,0)</f>
        <v/>
      </c>
      <c r="O99" s="45">
        <f>IF(O$23&gt;=DATE(YEAR(in_FxShopify_Start),MONTH(in_FxShopify_Start),1),in_FxShopify,0)</f>
        <v/>
      </c>
      <c r="P99" s="45">
        <f>IF(P$23&gt;=DATE(YEAR(in_FxShopify_Start),MONTH(in_FxShopify_Start),1),in_FxShopify,0)</f>
        <v/>
      </c>
      <c r="Q99" s="45">
        <f>IF(Q$23&gt;=DATE(YEAR(in_FxShopify_Start),MONTH(in_FxShopify_Start),1),in_FxShopify,0)</f>
        <v/>
      </c>
      <c r="R99" s="46">
        <f>SUM(C99:Q99)</f>
        <v/>
      </c>
    </row>
    <row r="100">
      <c r="A100" s="10" t="inlineStr">
        <is>
          <t>Klaviyo email</t>
        </is>
      </c>
      <c r="C100" s="45">
        <f>IF(C$23&gt;=DATE(YEAR(in_FxKlaviyo_Start),MONTH(in_FxKlaviyo_Start),1),in_FxKlaviyo,0)</f>
        <v/>
      </c>
      <c r="D100" s="45">
        <f>IF(D$23&gt;=DATE(YEAR(in_FxKlaviyo_Start),MONTH(in_FxKlaviyo_Start),1),in_FxKlaviyo,0)</f>
        <v/>
      </c>
      <c r="E100" s="45">
        <f>IF(E$23&gt;=DATE(YEAR(in_FxKlaviyo_Start),MONTH(in_FxKlaviyo_Start),1),in_FxKlaviyo,0)</f>
        <v/>
      </c>
      <c r="F100" s="45">
        <f>IF(F$23&gt;=DATE(YEAR(in_FxKlaviyo_Start),MONTH(in_FxKlaviyo_Start),1),in_FxKlaviyo,0)</f>
        <v/>
      </c>
      <c r="G100" s="45">
        <f>IF(G$23&gt;=DATE(YEAR(in_FxKlaviyo_Start),MONTH(in_FxKlaviyo_Start),1),in_FxKlaviyo,0)</f>
        <v/>
      </c>
      <c r="H100" s="45">
        <f>IF(H$23&gt;=DATE(YEAR(in_FxKlaviyo_Start),MONTH(in_FxKlaviyo_Start),1),in_FxKlaviyo,0)</f>
        <v/>
      </c>
      <c r="I100" s="45">
        <f>IF(I$23&gt;=DATE(YEAR(in_FxKlaviyo_Start),MONTH(in_FxKlaviyo_Start),1),in_FxKlaviyo,0)</f>
        <v/>
      </c>
      <c r="J100" s="45">
        <f>IF(J$23&gt;=DATE(YEAR(in_FxKlaviyo_Start),MONTH(in_FxKlaviyo_Start),1),in_FxKlaviyo,0)</f>
        <v/>
      </c>
      <c r="K100" s="45">
        <f>IF(K$23&gt;=DATE(YEAR(in_FxKlaviyo_Start),MONTH(in_FxKlaviyo_Start),1),in_FxKlaviyo,0)</f>
        <v/>
      </c>
      <c r="L100" s="45">
        <f>IF(L$23&gt;=DATE(YEAR(in_FxKlaviyo_Start),MONTH(in_FxKlaviyo_Start),1),in_FxKlaviyo,0)</f>
        <v/>
      </c>
      <c r="M100" s="45">
        <f>IF(M$23&gt;=DATE(YEAR(in_FxKlaviyo_Start),MONTH(in_FxKlaviyo_Start),1),in_FxKlaviyo,0)</f>
        <v/>
      </c>
      <c r="N100" s="45">
        <f>IF(N$23&gt;=DATE(YEAR(in_FxKlaviyo_Start),MONTH(in_FxKlaviyo_Start),1),in_FxKlaviyo,0)</f>
        <v/>
      </c>
      <c r="O100" s="45">
        <f>IF(O$23&gt;=DATE(YEAR(in_FxKlaviyo_Start),MONTH(in_FxKlaviyo_Start),1),in_FxKlaviyo,0)</f>
        <v/>
      </c>
      <c r="P100" s="45">
        <f>IF(P$23&gt;=DATE(YEAR(in_FxKlaviyo_Start),MONTH(in_FxKlaviyo_Start),1),in_FxKlaviyo,0)</f>
        <v/>
      </c>
      <c r="Q100" s="45">
        <f>IF(Q$23&gt;=DATE(YEAR(in_FxKlaviyo_Start),MONTH(in_FxKlaviyo_Start),1),in_FxKlaviyo,0)</f>
        <v/>
      </c>
      <c r="R100" s="46">
        <f>SUM(C100:Q100)</f>
        <v/>
      </c>
    </row>
    <row r="101">
      <c r="A101" s="10" t="inlineStr">
        <is>
          <t>Product liability insurance</t>
        </is>
      </c>
      <c r="C101" s="45">
        <f>IF(C$23&gt;=DATE(YEAR(in_FxInsurance_Start),MONTH(in_FxInsurance_Start),1),in_FxInsurance,0)</f>
        <v/>
      </c>
      <c r="D101" s="45">
        <f>IF(D$23&gt;=DATE(YEAR(in_FxInsurance_Start),MONTH(in_FxInsurance_Start),1),in_FxInsurance,0)</f>
        <v/>
      </c>
      <c r="E101" s="45">
        <f>IF(E$23&gt;=DATE(YEAR(in_FxInsurance_Start),MONTH(in_FxInsurance_Start),1),in_FxInsurance,0)</f>
        <v/>
      </c>
      <c r="F101" s="45">
        <f>IF(F$23&gt;=DATE(YEAR(in_FxInsurance_Start),MONTH(in_FxInsurance_Start),1),in_FxInsurance,0)</f>
        <v/>
      </c>
      <c r="G101" s="45">
        <f>IF(G$23&gt;=DATE(YEAR(in_FxInsurance_Start),MONTH(in_FxInsurance_Start),1),in_FxInsurance,0)</f>
        <v/>
      </c>
      <c r="H101" s="45">
        <f>IF(H$23&gt;=DATE(YEAR(in_FxInsurance_Start),MONTH(in_FxInsurance_Start),1),in_FxInsurance,0)</f>
        <v/>
      </c>
      <c r="I101" s="45">
        <f>IF(I$23&gt;=DATE(YEAR(in_FxInsurance_Start),MONTH(in_FxInsurance_Start),1),in_FxInsurance,0)</f>
        <v/>
      </c>
      <c r="J101" s="45">
        <f>IF(J$23&gt;=DATE(YEAR(in_FxInsurance_Start),MONTH(in_FxInsurance_Start),1),in_FxInsurance,0)</f>
        <v/>
      </c>
      <c r="K101" s="45">
        <f>IF(K$23&gt;=DATE(YEAR(in_FxInsurance_Start),MONTH(in_FxInsurance_Start),1),in_FxInsurance,0)</f>
        <v/>
      </c>
      <c r="L101" s="45">
        <f>IF(L$23&gt;=DATE(YEAR(in_FxInsurance_Start),MONTH(in_FxInsurance_Start),1),in_FxInsurance,0)</f>
        <v/>
      </c>
      <c r="M101" s="45">
        <f>IF(M$23&gt;=DATE(YEAR(in_FxInsurance_Start),MONTH(in_FxInsurance_Start),1),in_FxInsurance,0)</f>
        <v/>
      </c>
      <c r="N101" s="45">
        <f>IF(N$23&gt;=DATE(YEAR(in_FxInsurance_Start),MONTH(in_FxInsurance_Start),1),in_FxInsurance,0)</f>
        <v/>
      </c>
      <c r="O101" s="45">
        <f>IF(O$23&gt;=DATE(YEAR(in_FxInsurance_Start),MONTH(in_FxInsurance_Start),1),in_FxInsurance,0)</f>
        <v/>
      </c>
      <c r="P101" s="45">
        <f>IF(P$23&gt;=DATE(YEAR(in_FxInsurance_Start),MONTH(in_FxInsurance_Start),1),in_FxInsurance,0)</f>
        <v/>
      </c>
      <c r="Q101" s="45">
        <f>IF(Q$23&gt;=DATE(YEAR(in_FxInsurance_Start),MONTH(in_FxInsurance_Start),1),in_FxInsurance,0)</f>
        <v/>
      </c>
      <c r="R101" s="46">
        <f>SUM(C101:Q101)</f>
        <v/>
      </c>
    </row>
    <row r="102">
      <c r="A102" s="10" t="inlineStr">
        <is>
          <t>Other software (SMS credits, apps)</t>
        </is>
      </c>
      <c r="C102" s="45">
        <f>IF(C$23&gt;=DATE(YEAR(in_FxSoftware_Start),MONTH(in_FxSoftware_Start),1),in_FxSoftware,0)</f>
        <v/>
      </c>
      <c r="D102" s="45">
        <f>IF(D$23&gt;=DATE(YEAR(in_FxSoftware_Start),MONTH(in_FxSoftware_Start),1),in_FxSoftware,0)</f>
        <v/>
      </c>
      <c r="E102" s="45">
        <f>IF(E$23&gt;=DATE(YEAR(in_FxSoftware_Start),MONTH(in_FxSoftware_Start),1),in_FxSoftware,0)</f>
        <v/>
      </c>
      <c r="F102" s="45">
        <f>IF(F$23&gt;=DATE(YEAR(in_FxSoftware_Start),MONTH(in_FxSoftware_Start),1),in_FxSoftware,0)</f>
        <v/>
      </c>
      <c r="G102" s="45">
        <f>IF(G$23&gt;=DATE(YEAR(in_FxSoftware_Start),MONTH(in_FxSoftware_Start),1),in_FxSoftware,0)</f>
        <v/>
      </c>
      <c r="H102" s="45">
        <f>IF(H$23&gt;=DATE(YEAR(in_FxSoftware_Start),MONTH(in_FxSoftware_Start),1),in_FxSoftware,0)</f>
        <v/>
      </c>
      <c r="I102" s="45">
        <f>IF(I$23&gt;=DATE(YEAR(in_FxSoftware_Start),MONTH(in_FxSoftware_Start),1),in_FxSoftware,0)</f>
        <v/>
      </c>
      <c r="J102" s="45">
        <f>IF(J$23&gt;=DATE(YEAR(in_FxSoftware_Start),MONTH(in_FxSoftware_Start),1),in_FxSoftware,0)</f>
        <v/>
      </c>
      <c r="K102" s="45">
        <f>IF(K$23&gt;=DATE(YEAR(in_FxSoftware_Start),MONTH(in_FxSoftware_Start),1),in_FxSoftware,0)</f>
        <v/>
      </c>
      <c r="L102" s="45">
        <f>IF(L$23&gt;=DATE(YEAR(in_FxSoftware_Start),MONTH(in_FxSoftware_Start),1),in_FxSoftware,0)</f>
        <v/>
      </c>
      <c r="M102" s="45">
        <f>IF(M$23&gt;=DATE(YEAR(in_FxSoftware_Start),MONTH(in_FxSoftware_Start),1),in_FxSoftware,0)</f>
        <v/>
      </c>
      <c r="N102" s="45">
        <f>IF(N$23&gt;=DATE(YEAR(in_FxSoftware_Start),MONTH(in_FxSoftware_Start),1),in_FxSoftware,0)</f>
        <v/>
      </c>
      <c r="O102" s="45">
        <f>IF(O$23&gt;=DATE(YEAR(in_FxSoftware_Start),MONTH(in_FxSoftware_Start),1),in_FxSoftware,0)</f>
        <v/>
      </c>
      <c r="P102" s="45">
        <f>IF(P$23&gt;=DATE(YEAR(in_FxSoftware_Start),MONTH(in_FxSoftware_Start),1),in_FxSoftware,0)</f>
        <v/>
      </c>
      <c r="Q102" s="45">
        <f>IF(Q$23&gt;=DATE(YEAR(in_FxSoftware_Start),MONTH(in_FxSoftware_Start),1),in_FxSoftware,0)</f>
        <v/>
      </c>
      <c r="R102" s="46">
        <f>SUM(C102:Q102)</f>
        <v/>
      </c>
    </row>
    <row r="103">
      <c r="A103" s="10" t="inlineStr">
        <is>
          <t>Bookkeeping</t>
        </is>
      </c>
      <c r="C103" s="45">
        <f>IF(C$23&gt;=DATE(YEAR(in_FxBooks_Start),MONTH(in_FxBooks_Start),1),in_FxBooks,0)</f>
        <v/>
      </c>
      <c r="D103" s="45">
        <f>IF(D$23&gt;=DATE(YEAR(in_FxBooks_Start),MONTH(in_FxBooks_Start),1),in_FxBooks,0)</f>
        <v/>
      </c>
      <c r="E103" s="45">
        <f>IF(E$23&gt;=DATE(YEAR(in_FxBooks_Start),MONTH(in_FxBooks_Start),1),in_FxBooks,0)</f>
        <v/>
      </c>
      <c r="F103" s="45">
        <f>IF(F$23&gt;=DATE(YEAR(in_FxBooks_Start),MONTH(in_FxBooks_Start),1),in_FxBooks,0)</f>
        <v/>
      </c>
      <c r="G103" s="45">
        <f>IF(G$23&gt;=DATE(YEAR(in_FxBooks_Start),MONTH(in_FxBooks_Start),1),in_FxBooks,0)</f>
        <v/>
      </c>
      <c r="H103" s="45">
        <f>IF(H$23&gt;=DATE(YEAR(in_FxBooks_Start),MONTH(in_FxBooks_Start),1),in_FxBooks,0)</f>
        <v/>
      </c>
      <c r="I103" s="45">
        <f>IF(I$23&gt;=DATE(YEAR(in_FxBooks_Start),MONTH(in_FxBooks_Start),1),in_FxBooks,0)</f>
        <v/>
      </c>
      <c r="J103" s="45">
        <f>IF(J$23&gt;=DATE(YEAR(in_FxBooks_Start),MONTH(in_FxBooks_Start),1),in_FxBooks,0)</f>
        <v/>
      </c>
      <c r="K103" s="45">
        <f>IF(K$23&gt;=DATE(YEAR(in_FxBooks_Start),MONTH(in_FxBooks_Start),1),in_FxBooks,0)</f>
        <v/>
      </c>
      <c r="L103" s="45">
        <f>IF(L$23&gt;=DATE(YEAR(in_FxBooks_Start),MONTH(in_FxBooks_Start),1),in_FxBooks,0)</f>
        <v/>
      </c>
      <c r="M103" s="45">
        <f>IF(M$23&gt;=DATE(YEAR(in_FxBooks_Start),MONTH(in_FxBooks_Start),1),in_FxBooks,0)</f>
        <v/>
      </c>
      <c r="N103" s="45">
        <f>IF(N$23&gt;=DATE(YEAR(in_FxBooks_Start),MONTH(in_FxBooks_Start),1),in_FxBooks,0)</f>
        <v/>
      </c>
      <c r="O103" s="45">
        <f>IF(O$23&gt;=DATE(YEAR(in_FxBooks_Start),MONTH(in_FxBooks_Start),1),in_FxBooks,0)</f>
        <v/>
      </c>
      <c r="P103" s="45">
        <f>IF(P$23&gt;=DATE(YEAR(in_FxBooks_Start),MONTH(in_FxBooks_Start),1),in_FxBooks,0)</f>
        <v/>
      </c>
      <c r="Q103" s="45">
        <f>IF(Q$23&gt;=DATE(YEAR(in_FxBooks_Start),MONTH(in_FxBooks_Start),1),in_FxBooks,0)</f>
        <v/>
      </c>
      <c r="R103" s="46">
        <f>SUM(C103:Q103)</f>
        <v/>
      </c>
    </row>
    <row r="104">
      <c r="A104" s="10" t="inlineStr">
        <is>
          <t>Amazon Professional plan</t>
        </is>
      </c>
      <c r="C104" s="45">
        <f>IF(C$23&gt;=DATE(YEAR(in_FxAmazon_Start),MONTH(in_FxAmazon_Start),1),in_FxAmazon,0)</f>
        <v/>
      </c>
      <c r="D104" s="45">
        <f>IF(D$23&gt;=DATE(YEAR(in_FxAmazon_Start),MONTH(in_FxAmazon_Start),1),in_FxAmazon,0)</f>
        <v/>
      </c>
      <c r="E104" s="45">
        <f>IF(E$23&gt;=DATE(YEAR(in_FxAmazon_Start),MONTH(in_FxAmazon_Start),1),in_FxAmazon,0)</f>
        <v/>
      </c>
      <c r="F104" s="45">
        <f>IF(F$23&gt;=DATE(YEAR(in_FxAmazon_Start),MONTH(in_FxAmazon_Start),1),in_FxAmazon,0)</f>
        <v/>
      </c>
      <c r="G104" s="45">
        <f>IF(G$23&gt;=DATE(YEAR(in_FxAmazon_Start),MONTH(in_FxAmazon_Start),1),in_FxAmazon,0)</f>
        <v/>
      </c>
      <c r="H104" s="45">
        <f>IF(H$23&gt;=DATE(YEAR(in_FxAmazon_Start),MONTH(in_FxAmazon_Start),1),in_FxAmazon,0)</f>
        <v/>
      </c>
      <c r="I104" s="45">
        <f>IF(I$23&gt;=DATE(YEAR(in_FxAmazon_Start),MONTH(in_FxAmazon_Start),1),in_FxAmazon,0)</f>
        <v/>
      </c>
      <c r="J104" s="45">
        <f>IF(J$23&gt;=DATE(YEAR(in_FxAmazon_Start),MONTH(in_FxAmazon_Start),1),in_FxAmazon,0)</f>
        <v/>
      </c>
      <c r="K104" s="45">
        <f>IF(K$23&gt;=DATE(YEAR(in_FxAmazon_Start),MONTH(in_FxAmazon_Start),1),in_FxAmazon,0)</f>
        <v/>
      </c>
      <c r="L104" s="45">
        <f>IF(L$23&gt;=DATE(YEAR(in_FxAmazon_Start),MONTH(in_FxAmazon_Start),1),in_FxAmazon,0)</f>
        <v/>
      </c>
      <c r="M104" s="45">
        <f>IF(M$23&gt;=DATE(YEAR(in_FxAmazon_Start),MONTH(in_FxAmazon_Start),1),in_FxAmazon,0)</f>
        <v/>
      </c>
      <c r="N104" s="45">
        <f>IF(N$23&gt;=DATE(YEAR(in_FxAmazon_Start),MONTH(in_FxAmazon_Start),1),in_FxAmazon,0)</f>
        <v/>
      </c>
      <c r="O104" s="45">
        <f>IF(O$23&gt;=DATE(YEAR(in_FxAmazon_Start),MONTH(in_FxAmazon_Start),1),in_FxAmazon,0)</f>
        <v/>
      </c>
      <c r="P104" s="45">
        <f>IF(P$23&gt;=DATE(YEAR(in_FxAmazon_Start),MONTH(in_FxAmazon_Start),1),in_FxAmazon,0)</f>
        <v/>
      </c>
      <c r="Q104" s="45">
        <f>IF(Q$23&gt;=DATE(YEAR(in_FxAmazon_Start),MONTH(in_FxAmazon_Start),1),in_FxAmazon,0)</f>
        <v/>
      </c>
      <c r="R104" s="46">
        <f>SUM(C104:Q104)</f>
        <v/>
      </c>
    </row>
    <row r="105">
      <c r="A105" s="26" t="inlineStr">
        <is>
          <t>Total fixed costs</t>
        </is>
      </c>
      <c r="C105" s="47">
        <f>SUM(C99:C104)</f>
        <v/>
      </c>
      <c r="D105" s="47">
        <f>SUM(D99:D104)</f>
        <v/>
      </c>
      <c r="E105" s="47">
        <f>SUM(E99:E104)</f>
        <v/>
      </c>
      <c r="F105" s="47">
        <f>SUM(F99:F104)</f>
        <v/>
      </c>
      <c r="G105" s="47">
        <f>SUM(G99:G104)</f>
        <v/>
      </c>
      <c r="H105" s="47">
        <f>SUM(H99:H104)</f>
        <v/>
      </c>
      <c r="I105" s="47">
        <f>SUM(I99:I104)</f>
        <v/>
      </c>
      <c r="J105" s="47">
        <f>SUM(J99:J104)</f>
        <v/>
      </c>
      <c r="K105" s="47">
        <f>SUM(K99:K104)</f>
        <v/>
      </c>
      <c r="L105" s="47">
        <f>SUM(L99:L104)</f>
        <v/>
      </c>
      <c r="M105" s="47">
        <f>SUM(M99:M104)</f>
        <v/>
      </c>
      <c r="N105" s="47">
        <f>SUM(N99:N104)</f>
        <v/>
      </c>
      <c r="O105" s="47">
        <f>SUM(O99:O104)</f>
        <v/>
      </c>
      <c r="P105" s="47">
        <f>SUM(P99:P104)</f>
        <v/>
      </c>
      <c r="Q105" s="47">
        <f>SUM(Q99:Q104)</f>
        <v/>
      </c>
      <c r="R105" s="46">
        <f>SUM(C105:Q105)</f>
        <v/>
      </c>
    </row>
    <row r="107">
      <c r="A107" s="7" t="inlineStr">
        <is>
          <t>One-time launch costs (cash out)</t>
        </is>
      </c>
      <c r="B107" s="8" t="n"/>
      <c r="C107" s="8" t="n"/>
      <c r="D107" s="8" t="n"/>
      <c r="E107" s="8" t="n"/>
      <c r="F107" s="8" t="n"/>
      <c r="G107" s="8" t="n"/>
      <c r="H107" s="8" t="n"/>
      <c r="I107" s="8" t="n"/>
      <c r="J107" s="8" t="n"/>
      <c r="K107" s="8" t="n"/>
      <c r="L107" s="8" t="n"/>
      <c r="M107" s="8" t="n"/>
      <c r="N107" s="8" t="n"/>
      <c r="O107" s="8" t="n"/>
      <c r="P107" s="8" t="n"/>
      <c r="Q107" s="8" t="n"/>
      <c r="R107" s="8" t="n"/>
    </row>
    <row r="108">
      <c r="A108" s="10" t="inlineStr">
        <is>
          <t>Company, trademark, lawyer review, insurance setup</t>
        </is>
      </c>
      <c r="C108" s="45">
        <f>IF(EOMONTH(in_OtCompany_D,0)=EOMONTH(C$23,0),IF($B$3="Lean",in_OtCompany_L,in_OtCompany_S),0)</f>
        <v/>
      </c>
      <c r="D108" s="45">
        <f>IF(EOMONTH(in_OtCompany_D,0)=EOMONTH(D$23,0),IF($B$3="Lean",in_OtCompany_L,in_OtCompany_S),0)</f>
        <v/>
      </c>
      <c r="E108" s="45">
        <f>IF(EOMONTH(in_OtCompany_D,0)=EOMONTH(E$23,0),IF($B$3="Lean",in_OtCompany_L,in_OtCompany_S),0)</f>
        <v/>
      </c>
      <c r="F108" s="45">
        <f>IF(EOMONTH(in_OtCompany_D,0)=EOMONTH(F$23,0),IF($B$3="Lean",in_OtCompany_L,in_OtCompany_S),0)</f>
        <v/>
      </c>
      <c r="G108" s="45">
        <f>IF(EOMONTH(in_OtCompany_D,0)=EOMONTH(G$23,0),IF($B$3="Lean",in_OtCompany_L,in_OtCompany_S),0)</f>
        <v/>
      </c>
      <c r="H108" s="45">
        <f>IF(EOMONTH(in_OtCompany_D,0)=EOMONTH(H$23,0),IF($B$3="Lean",in_OtCompany_L,in_OtCompany_S),0)</f>
        <v/>
      </c>
      <c r="I108" s="45">
        <f>IF(EOMONTH(in_OtCompany_D,0)=EOMONTH(I$23,0),IF($B$3="Lean",in_OtCompany_L,in_OtCompany_S),0)</f>
        <v/>
      </c>
      <c r="J108" s="45">
        <f>IF(EOMONTH(in_OtCompany_D,0)=EOMONTH(J$23,0),IF($B$3="Lean",in_OtCompany_L,in_OtCompany_S),0)</f>
        <v/>
      </c>
      <c r="K108" s="45">
        <f>IF(EOMONTH(in_OtCompany_D,0)=EOMONTH(K$23,0),IF($B$3="Lean",in_OtCompany_L,in_OtCompany_S),0)</f>
        <v/>
      </c>
      <c r="L108" s="45">
        <f>IF(EOMONTH(in_OtCompany_D,0)=EOMONTH(L$23,0),IF($B$3="Lean",in_OtCompany_L,in_OtCompany_S),0)</f>
        <v/>
      </c>
      <c r="M108" s="45">
        <f>IF(EOMONTH(in_OtCompany_D,0)=EOMONTH(M$23,0),IF($B$3="Lean",in_OtCompany_L,in_OtCompany_S),0)</f>
        <v/>
      </c>
      <c r="N108" s="45">
        <f>IF(EOMONTH(in_OtCompany_D,0)=EOMONTH(N$23,0),IF($B$3="Lean",in_OtCompany_L,in_OtCompany_S),0)</f>
        <v/>
      </c>
      <c r="O108" s="45">
        <f>IF(EOMONTH(in_OtCompany_D,0)=EOMONTH(O$23,0),IF($B$3="Lean",in_OtCompany_L,in_OtCompany_S),0)</f>
        <v/>
      </c>
      <c r="P108" s="45">
        <f>IF(EOMONTH(in_OtCompany_D,0)=EOMONTH(P$23,0),IF($B$3="Lean",in_OtCompany_L,in_OtCompany_S),0)</f>
        <v/>
      </c>
      <c r="Q108" s="45">
        <f>IF(EOMONTH(in_OtCompany_D,0)=EOMONTH(Q$23,0),IF($B$3="Lean",in_OtCompany_L,in_OtCompany_S),0)</f>
        <v/>
      </c>
      <c r="R108" s="46">
        <f>SUM(C108:Q108)</f>
        <v/>
      </c>
    </row>
    <row r="109">
      <c r="A109" s="10" t="inlineStr">
        <is>
          <t>Samples and flavour development (Strawberry)</t>
        </is>
      </c>
      <c r="C109" s="45">
        <f>IF(EOMONTH(in_OtSamples_D,0)=EOMONTH(C$23,0),IF($B$3="Lean",in_OtSamples_L,in_OtSamples_S),0)</f>
        <v/>
      </c>
      <c r="D109" s="45">
        <f>IF(EOMONTH(in_OtSamples_D,0)=EOMONTH(D$23,0),IF($B$3="Lean",in_OtSamples_L,in_OtSamples_S),0)</f>
        <v/>
      </c>
      <c r="E109" s="45">
        <f>IF(EOMONTH(in_OtSamples_D,0)=EOMONTH(E$23,0),IF($B$3="Lean",in_OtSamples_L,in_OtSamples_S),0)</f>
        <v/>
      </c>
      <c r="F109" s="45">
        <f>IF(EOMONTH(in_OtSamples_D,0)=EOMONTH(F$23,0),IF($B$3="Lean",in_OtSamples_L,in_OtSamples_S),0)</f>
        <v/>
      </c>
      <c r="G109" s="45">
        <f>IF(EOMONTH(in_OtSamples_D,0)=EOMONTH(G$23,0),IF($B$3="Lean",in_OtSamples_L,in_OtSamples_S),0)</f>
        <v/>
      </c>
      <c r="H109" s="45">
        <f>IF(EOMONTH(in_OtSamples_D,0)=EOMONTH(H$23,0),IF($B$3="Lean",in_OtSamples_L,in_OtSamples_S),0)</f>
        <v/>
      </c>
      <c r="I109" s="45">
        <f>IF(EOMONTH(in_OtSamples_D,0)=EOMONTH(I$23,0),IF($B$3="Lean",in_OtSamples_L,in_OtSamples_S),0)</f>
        <v/>
      </c>
      <c r="J109" s="45">
        <f>IF(EOMONTH(in_OtSamples_D,0)=EOMONTH(J$23,0),IF($B$3="Lean",in_OtSamples_L,in_OtSamples_S),0)</f>
        <v/>
      </c>
      <c r="K109" s="45">
        <f>IF(EOMONTH(in_OtSamples_D,0)=EOMONTH(K$23,0),IF($B$3="Lean",in_OtSamples_L,in_OtSamples_S),0)</f>
        <v/>
      </c>
      <c r="L109" s="45">
        <f>IF(EOMONTH(in_OtSamples_D,0)=EOMONTH(L$23,0),IF($B$3="Lean",in_OtSamples_L,in_OtSamples_S),0)</f>
        <v/>
      </c>
      <c r="M109" s="45">
        <f>IF(EOMONTH(in_OtSamples_D,0)=EOMONTH(M$23,0),IF($B$3="Lean",in_OtSamples_L,in_OtSamples_S),0)</f>
        <v/>
      </c>
      <c r="N109" s="45">
        <f>IF(EOMONTH(in_OtSamples_D,0)=EOMONTH(N$23,0),IF($B$3="Lean",in_OtSamples_L,in_OtSamples_S),0)</f>
        <v/>
      </c>
      <c r="O109" s="45">
        <f>IF(EOMONTH(in_OtSamples_D,0)=EOMONTH(O$23,0),IF($B$3="Lean",in_OtSamples_L,in_OtSamples_S),0)</f>
        <v/>
      </c>
      <c r="P109" s="45">
        <f>IF(EOMONTH(in_OtSamples_D,0)=EOMONTH(P$23,0),IF($B$3="Lean",in_OtSamples_L,in_OtSamples_S),0)</f>
        <v/>
      </c>
      <c r="Q109" s="45">
        <f>IF(EOMONTH(in_OtSamples_D,0)=EOMONTH(Q$23,0),IF($B$3="Lean",in_OtSamples_L,in_OtSamples_S),0)</f>
        <v/>
      </c>
      <c r="R109" s="46">
        <f>SUM(C109:Q109)</f>
        <v/>
      </c>
    </row>
    <row r="110">
      <c r="A110" s="10" t="inlineStr">
        <is>
          <t>Label and regulatory review</t>
        </is>
      </c>
      <c r="C110" s="45">
        <f>IF(EOMONTH(in_OtLabel_D,0)=EOMONTH(C$23,0),IF($B$3="Lean",in_OtLabel_L,in_OtLabel_S),0)</f>
        <v/>
      </c>
      <c r="D110" s="45">
        <f>IF(EOMONTH(in_OtLabel_D,0)=EOMONTH(D$23,0),IF($B$3="Lean",in_OtLabel_L,in_OtLabel_S),0)</f>
        <v/>
      </c>
      <c r="E110" s="45">
        <f>IF(EOMONTH(in_OtLabel_D,0)=EOMONTH(E$23,0),IF($B$3="Lean",in_OtLabel_L,in_OtLabel_S),0)</f>
        <v/>
      </c>
      <c r="F110" s="45">
        <f>IF(EOMONTH(in_OtLabel_D,0)=EOMONTH(F$23,0),IF($B$3="Lean",in_OtLabel_L,in_OtLabel_S),0)</f>
        <v/>
      </c>
      <c r="G110" s="45">
        <f>IF(EOMONTH(in_OtLabel_D,0)=EOMONTH(G$23,0),IF($B$3="Lean",in_OtLabel_L,in_OtLabel_S),0)</f>
        <v/>
      </c>
      <c r="H110" s="45">
        <f>IF(EOMONTH(in_OtLabel_D,0)=EOMONTH(H$23,0),IF($B$3="Lean",in_OtLabel_L,in_OtLabel_S),0)</f>
        <v/>
      </c>
      <c r="I110" s="45">
        <f>IF(EOMONTH(in_OtLabel_D,0)=EOMONTH(I$23,0),IF($B$3="Lean",in_OtLabel_L,in_OtLabel_S),0)</f>
        <v/>
      </c>
      <c r="J110" s="45">
        <f>IF(EOMONTH(in_OtLabel_D,0)=EOMONTH(J$23,0),IF($B$3="Lean",in_OtLabel_L,in_OtLabel_S),0)</f>
        <v/>
      </c>
      <c r="K110" s="45">
        <f>IF(EOMONTH(in_OtLabel_D,0)=EOMONTH(K$23,0),IF($B$3="Lean",in_OtLabel_L,in_OtLabel_S),0)</f>
        <v/>
      </c>
      <c r="L110" s="45">
        <f>IF(EOMONTH(in_OtLabel_D,0)=EOMONTH(L$23,0),IF($B$3="Lean",in_OtLabel_L,in_OtLabel_S),0)</f>
        <v/>
      </c>
      <c r="M110" s="45">
        <f>IF(EOMONTH(in_OtLabel_D,0)=EOMONTH(M$23,0),IF($B$3="Lean",in_OtLabel_L,in_OtLabel_S),0)</f>
        <v/>
      </c>
      <c r="N110" s="45">
        <f>IF(EOMONTH(in_OtLabel_D,0)=EOMONTH(N$23,0),IF($B$3="Lean",in_OtLabel_L,in_OtLabel_S),0)</f>
        <v/>
      </c>
      <c r="O110" s="45">
        <f>IF(EOMONTH(in_OtLabel_D,0)=EOMONTH(O$23,0),IF($B$3="Lean",in_OtLabel_L,in_OtLabel_S),0)</f>
        <v/>
      </c>
      <c r="P110" s="45">
        <f>IF(EOMONTH(in_OtLabel_D,0)=EOMONTH(P$23,0),IF($B$3="Lean",in_OtLabel_L,in_OtLabel_S),0)</f>
        <v/>
      </c>
      <c r="Q110" s="45">
        <f>IF(EOMONTH(in_OtLabel_D,0)=EOMONTH(Q$23,0),IF($B$3="Lean",in_OtLabel_L,in_OtLabel_S),0)</f>
        <v/>
      </c>
      <c r="R110" s="46">
        <f>SUM(C110:Q110)</f>
        <v/>
      </c>
    </row>
    <row r="111">
      <c r="A111" s="10" t="inlineStr">
        <is>
          <t>Launch kit: shakers, display, sampling supplies, apps</t>
        </is>
      </c>
      <c r="C111" s="45">
        <f>IF(EOMONTH(in_OtKit_D,0)=EOMONTH(C$23,0),IF($B$3="Lean",in_OtKit_L,in_OtKit_S),0)</f>
        <v/>
      </c>
      <c r="D111" s="45">
        <f>IF(EOMONTH(in_OtKit_D,0)=EOMONTH(D$23,0),IF($B$3="Lean",in_OtKit_L,in_OtKit_S),0)</f>
        <v/>
      </c>
      <c r="E111" s="45">
        <f>IF(EOMONTH(in_OtKit_D,0)=EOMONTH(E$23,0),IF($B$3="Lean",in_OtKit_L,in_OtKit_S),0)</f>
        <v/>
      </c>
      <c r="F111" s="45">
        <f>IF(EOMONTH(in_OtKit_D,0)=EOMONTH(F$23,0),IF($B$3="Lean",in_OtKit_L,in_OtKit_S),0)</f>
        <v/>
      </c>
      <c r="G111" s="45">
        <f>IF(EOMONTH(in_OtKit_D,0)=EOMONTH(G$23,0),IF($B$3="Lean",in_OtKit_L,in_OtKit_S),0)</f>
        <v/>
      </c>
      <c r="H111" s="45">
        <f>IF(EOMONTH(in_OtKit_D,0)=EOMONTH(H$23,0),IF($B$3="Lean",in_OtKit_L,in_OtKit_S),0)</f>
        <v/>
      </c>
      <c r="I111" s="45">
        <f>IF(EOMONTH(in_OtKit_D,0)=EOMONTH(I$23,0),IF($B$3="Lean",in_OtKit_L,in_OtKit_S),0)</f>
        <v/>
      </c>
      <c r="J111" s="45">
        <f>IF(EOMONTH(in_OtKit_D,0)=EOMONTH(J$23,0),IF($B$3="Lean",in_OtKit_L,in_OtKit_S),0)</f>
        <v/>
      </c>
      <c r="K111" s="45">
        <f>IF(EOMONTH(in_OtKit_D,0)=EOMONTH(K$23,0),IF($B$3="Lean",in_OtKit_L,in_OtKit_S),0)</f>
        <v/>
      </c>
      <c r="L111" s="45">
        <f>IF(EOMONTH(in_OtKit_D,0)=EOMONTH(L$23,0),IF($B$3="Lean",in_OtKit_L,in_OtKit_S),0)</f>
        <v/>
      </c>
      <c r="M111" s="45">
        <f>IF(EOMONTH(in_OtKit_D,0)=EOMONTH(M$23,0),IF($B$3="Lean",in_OtKit_L,in_OtKit_S),0)</f>
        <v/>
      </c>
      <c r="N111" s="45">
        <f>IF(EOMONTH(in_OtKit_D,0)=EOMONTH(N$23,0),IF($B$3="Lean",in_OtKit_L,in_OtKit_S),0)</f>
        <v/>
      </c>
      <c r="O111" s="45">
        <f>IF(EOMONTH(in_OtKit_D,0)=EOMONTH(O$23,0),IF($B$3="Lean",in_OtKit_L,in_OtKit_S),0)</f>
        <v/>
      </c>
      <c r="P111" s="45">
        <f>IF(EOMONTH(in_OtKit_D,0)=EOMONTH(P$23,0),IF($B$3="Lean",in_OtKit_L,in_OtKit_S),0)</f>
        <v/>
      </c>
      <c r="Q111" s="45">
        <f>IF(EOMONTH(in_OtKit_D,0)=EOMONTH(Q$23,0),IF($B$3="Lean",in_OtKit_L,in_OtKit_S),0)</f>
        <v/>
      </c>
      <c r="R111" s="46">
        <f>SUM(C111:Q111)</f>
        <v/>
      </c>
    </row>
    <row r="112">
      <c r="A112" s="10" t="inlineStr">
        <is>
          <t>Real Fruit Hydration sticks (development and first run)</t>
        </is>
      </c>
      <c r="C112" s="45">
        <f>IF(EOMONTH(in_OtHydra_D,0)=EOMONTH(C$23,0),IF($B$3="Lean",in_OtHydra_L,in_OtHydra_S),0)*in_HydraOn</f>
        <v/>
      </c>
      <c r="D112" s="45">
        <f>IF(EOMONTH(in_OtHydra_D,0)=EOMONTH(D$23,0),IF($B$3="Lean",in_OtHydra_L,in_OtHydra_S),0)*in_HydraOn</f>
        <v/>
      </c>
      <c r="E112" s="45">
        <f>IF(EOMONTH(in_OtHydra_D,0)=EOMONTH(E$23,0),IF($B$3="Lean",in_OtHydra_L,in_OtHydra_S),0)*in_HydraOn</f>
        <v/>
      </c>
      <c r="F112" s="45">
        <f>IF(EOMONTH(in_OtHydra_D,0)=EOMONTH(F$23,0),IF($B$3="Lean",in_OtHydra_L,in_OtHydra_S),0)*in_HydraOn</f>
        <v/>
      </c>
      <c r="G112" s="45">
        <f>IF(EOMONTH(in_OtHydra_D,0)=EOMONTH(G$23,0),IF($B$3="Lean",in_OtHydra_L,in_OtHydra_S),0)*in_HydraOn</f>
        <v/>
      </c>
      <c r="H112" s="45">
        <f>IF(EOMONTH(in_OtHydra_D,0)=EOMONTH(H$23,0),IF($B$3="Lean",in_OtHydra_L,in_OtHydra_S),0)*in_HydraOn</f>
        <v/>
      </c>
      <c r="I112" s="45">
        <f>IF(EOMONTH(in_OtHydra_D,0)=EOMONTH(I$23,0),IF($B$3="Lean",in_OtHydra_L,in_OtHydra_S),0)*in_HydraOn</f>
        <v/>
      </c>
      <c r="J112" s="45">
        <f>IF(EOMONTH(in_OtHydra_D,0)=EOMONTH(J$23,0),IF($B$3="Lean",in_OtHydra_L,in_OtHydra_S),0)*in_HydraOn</f>
        <v/>
      </c>
      <c r="K112" s="45">
        <f>IF(EOMONTH(in_OtHydra_D,0)=EOMONTH(K$23,0),IF($B$3="Lean",in_OtHydra_L,in_OtHydra_S),0)*in_HydraOn</f>
        <v/>
      </c>
      <c r="L112" s="45">
        <f>IF(EOMONTH(in_OtHydra_D,0)=EOMONTH(L$23,0),IF($B$3="Lean",in_OtHydra_L,in_OtHydra_S),0)*in_HydraOn</f>
        <v/>
      </c>
      <c r="M112" s="45">
        <f>IF(EOMONTH(in_OtHydra_D,0)=EOMONTH(M$23,0),IF($B$3="Lean",in_OtHydra_L,in_OtHydra_S),0)*in_HydraOn</f>
        <v/>
      </c>
      <c r="N112" s="45">
        <f>IF(EOMONTH(in_OtHydra_D,0)=EOMONTH(N$23,0),IF($B$3="Lean",in_OtHydra_L,in_OtHydra_S),0)*in_HydraOn</f>
        <v/>
      </c>
      <c r="O112" s="45">
        <f>IF(EOMONTH(in_OtHydra_D,0)=EOMONTH(O$23,0),IF($B$3="Lean",in_OtHydra_L,in_OtHydra_S),0)*in_HydraOn</f>
        <v/>
      </c>
      <c r="P112" s="45">
        <f>IF(EOMONTH(in_OtHydra_D,0)=EOMONTH(P$23,0),IF($B$3="Lean",in_OtHydra_L,in_OtHydra_S),0)*in_HydraOn</f>
        <v/>
      </c>
      <c r="Q112" s="45">
        <f>IF(EOMONTH(in_OtHydra_D,0)=EOMONTH(Q$23,0),IF($B$3="Lean",in_OtHydra_L,in_OtHydra_S),0)*in_HydraOn</f>
        <v/>
      </c>
      <c r="R112" s="46">
        <f>SUM(C112:Q112)</f>
        <v/>
      </c>
    </row>
    <row r="113">
      <c r="A113" s="10" t="inlineStr">
        <is>
          <t>Second protein flavour: samples and development</t>
        </is>
      </c>
      <c r="C113" s="45">
        <f>IF(EOMONTH(in_OtFlavor2_D,0)=EOMONTH(C$23,0),IF($B$3="Lean",in_OtFlavor2_L,in_OtFlavor2_S),0)*in_Flavor2On</f>
        <v/>
      </c>
      <c r="D113" s="45">
        <f>IF(EOMONTH(in_OtFlavor2_D,0)=EOMONTH(D$23,0),IF($B$3="Lean",in_OtFlavor2_L,in_OtFlavor2_S),0)*in_Flavor2On</f>
        <v/>
      </c>
      <c r="E113" s="45">
        <f>IF(EOMONTH(in_OtFlavor2_D,0)=EOMONTH(E$23,0),IF($B$3="Lean",in_OtFlavor2_L,in_OtFlavor2_S),0)*in_Flavor2On</f>
        <v/>
      </c>
      <c r="F113" s="45">
        <f>IF(EOMONTH(in_OtFlavor2_D,0)=EOMONTH(F$23,0),IF($B$3="Lean",in_OtFlavor2_L,in_OtFlavor2_S),0)*in_Flavor2On</f>
        <v/>
      </c>
      <c r="G113" s="45">
        <f>IF(EOMONTH(in_OtFlavor2_D,0)=EOMONTH(G$23,0),IF($B$3="Lean",in_OtFlavor2_L,in_OtFlavor2_S),0)*in_Flavor2On</f>
        <v/>
      </c>
      <c r="H113" s="45">
        <f>IF(EOMONTH(in_OtFlavor2_D,0)=EOMONTH(H$23,0),IF($B$3="Lean",in_OtFlavor2_L,in_OtFlavor2_S),0)*in_Flavor2On</f>
        <v/>
      </c>
      <c r="I113" s="45">
        <f>IF(EOMONTH(in_OtFlavor2_D,0)=EOMONTH(I$23,0),IF($B$3="Lean",in_OtFlavor2_L,in_OtFlavor2_S),0)*in_Flavor2On</f>
        <v/>
      </c>
      <c r="J113" s="45">
        <f>IF(EOMONTH(in_OtFlavor2_D,0)=EOMONTH(J$23,0),IF($B$3="Lean",in_OtFlavor2_L,in_OtFlavor2_S),0)*in_Flavor2On</f>
        <v/>
      </c>
      <c r="K113" s="45">
        <f>IF(EOMONTH(in_OtFlavor2_D,0)=EOMONTH(K$23,0),IF($B$3="Lean",in_OtFlavor2_L,in_OtFlavor2_S),0)*in_Flavor2On</f>
        <v/>
      </c>
      <c r="L113" s="45">
        <f>IF(EOMONTH(in_OtFlavor2_D,0)=EOMONTH(L$23,0),IF($B$3="Lean",in_OtFlavor2_L,in_OtFlavor2_S),0)*in_Flavor2On</f>
        <v/>
      </c>
      <c r="M113" s="45">
        <f>IF(EOMONTH(in_OtFlavor2_D,0)=EOMONTH(M$23,0),IF($B$3="Lean",in_OtFlavor2_L,in_OtFlavor2_S),0)*in_Flavor2On</f>
        <v/>
      </c>
      <c r="N113" s="45">
        <f>IF(EOMONTH(in_OtFlavor2_D,0)=EOMONTH(N$23,0),IF($B$3="Lean",in_OtFlavor2_L,in_OtFlavor2_S),0)*in_Flavor2On</f>
        <v/>
      </c>
      <c r="O113" s="45">
        <f>IF(EOMONTH(in_OtFlavor2_D,0)=EOMONTH(O$23,0),IF($B$3="Lean",in_OtFlavor2_L,in_OtFlavor2_S),0)*in_Flavor2On</f>
        <v/>
      </c>
      <c r="P113" s="45">
        <f>IF(EOMONTH(in_OtFlavor2_D,0)=EOMONTH(P$23,0),IF($B$3="Lean",in_OtFlavor2_L,in_OtFlavor2_S),0)*in_Flavor2On</f>
        <v/>
      </c>
      <c r="Q113" s="45">
        <f>IF(EOMONTH(in_OtFlavor2_D,0)=EOMONTH(Q$23,0),IF($B$3="Lean",in_OtFlavor2_L,in_OtFlavor2_S),0)*in_Flavor2On</f>
        <v/>
      </c>
      <c r="R113" s="46">
        <f>SUM(C113:Q113)</f>
        <v/>
      </c>
    </row>
    <row r="114">
      <c r="A114" s="10" t="inlineStr">
        <is>
          <t>Optional: Picked Creatine via Supliful</t>
        </is>
      </c>
      <c r="C114" s="45">
        <f>IF(EOMONTH(in_OtCreatine_D,0)=EOMONTH(C$23,0),IF($B$3="Lean",in_OtCreatine_L,in_OtCreatine_S),0)</f>
        <v/>
      </c>
      <c r="D114" s="45">
        <f>IF(EOMONTH(in_OtCreatine_D,0)=EOMONTH(D$23,0),IF($B$3="Lean",in_OtCreatine_L,in_OtCreatine_S),0)</f>
        <v/>
      </c>
      <c r="E114" s="45">
        <f>IF(EOMONTH(in_OtCreatine_D,0)=EOMONTH(E$23,0),IF($B$3="Lean",in_OtCreatine_L,in_OtCreatine_S),0)</f>
        <v/>
      </c>
      <c r="F114" s="45">
        <f>IF(EOMONTH(in_OtCreatine_D,0)=EOMONTH(F$23,0),IF($B$3="Lean",in_OtCreatine_L,in_OtCreatine_S),0)</f>
        <v/>
      </c>
      <c r="G114" s="45">
        <f>IF(EOMONTH(in_OtCreatine_D,0)=EOMONTH(G$23,0),IF($B$3="Lean",in_OtCreatine_L,in_OtCreatine_S),0)</f>
        <v/>
      </c>
      <c r="H114" s="45">
        <f>IF(EOMONTH(in_OtCreatine_D,0)=EOMONTH(H$23,0),IF($B$3="Lean",in_OtCreatine_L,in_OtCreatine_S),0)</f>
        <v/>
      </c>
      <c r="I114" s="45">
        <f>IF(EOMONTH(in_OtCreatine_D,0)=EOMONTH(I$23,0),IF($B$3="Lean",in_OtCreatine_L,in_OtCreatine_S),0)</f>
        <v/>
      </c>
      <c r="J114" s="45">
        <f>IF(EOMONTH(in_OtCreatine_D,0)=EOMONTH(J$23,0),IF($B$3="Lean",in_OtCreatine_L,in_OtCreatine_S),0)</f>
        <v/>
      </c>
      <c r="K114" s="45">
        <f>IF(EOMONTH(in_OtCreatine_D,0)=EOMONTH(K$23,0),IF($B$3="Lean",in_OtCreatine_L,in_OtCreatine_S),0)</f>
        <v/>
      </c>
      <c r="L114" s="45">
        <f>IF(EOMONTH(in_OtCreatine_D,0)=EOMONTH(L$23,0),IF($B$3="Lean",in_OtCreatine_L,in_OtCreatine_S),0)</f>
        <v/>
      </c>
      <c r="M114" s="45">
        <f>IF(EOMONTH(in_OtCreatine_D,0)=EOMONTH(M$23,0),IF($B$3="Lean",in_OtCreatine_L,in_OtCreatine_S),0)</f>
        <v/>
      </c>
      <c r="N114" s="45">
        <f>IF(EOMONTH(in_OtCreatine_D,0)=EOMONTH(N$23,0),IF($B$3="Lean",in_OtCreatine_L,in_OtCreatine_S),0)</f>
        <v/>
      </c>
      <c r="O114" s="45">
        <f>IF(EOMONTH(in_OtCreatine_D,0)=EOMONTH(O$23,0),IF($B$3="Lean",in_OtCreatine_L,in_OtCreatine_S),0)</f>
        <v/>
      </c>
      <c r="P114" s="45">
        <f>IF(EOMONTH(in_OtCreatine_D,0)=EOMONTH(P$23,0),IF($B$3="Lean",in_OtCreatine_L,in_OtCreatine_S),0)</f>
        <v/>
      </c>
      <c r="Q114" s="45">
        <f>IF(EOMONTH(in_OtCreatine_D,0)=EOMONTH(Q$23,0),IF($B$3="Lean",in_OtCreatine_L,in_OtCreatine_S),0)</f>
        <v/>
      </c>
      <c r="R114" s="46">
        <f>SUM(C114:Q114)</f>
        <v/>
      </c>
    </row>
    <row r="115">
      <c r="A115" s="26" t="inlineStr">
        <is>
          <t>Total one-time launch costs</t>
        </is>
      </c>
      <c r="C115" s="47">
        <f>SUM(C108:C114)</f>
        <v/>
      </c>
      <c r="D115" s="47">
        <f>SUM(D108:D114)</f>
        <v/>
      </c>
      <c r="E115" s="47">
        <f>SUM(E108:E114)</f>
        <v/>
      </c>
      <c r="F115" s="47">
        <f>SUM(F108:F114)</f>
        <v/>
      </c>
      <c r="G115" s="47">
        <f>SUM(G108:G114)</f>
        <v/>
      </c>
      <c r="H115" s="47">
        <f>SUM(H108:H114)</f>
        <v/>
      </c>
      <c r="I115" s="47">
        <f>SUM(I108:I114)</f>
        <v/>
      </c>
      <c r="J115" s="47">
        <f>SUM(J108:J114)</f>
        <v/>
      </c>
      <c r="K115" s="47">
        <f>SUM(K108:K114)</f>
        <v/>
      </c>
      <c r="L115" s="47">
        <f>SUM(L108:L114)</f>
        <v/>
      </c>
      <c r="M115" s="47">
        <f>SUM(M108:M114)</f>
        <v/>
      </c>
      <c r="N115" s="47">
        <f>SUM(N108:N114)</f>
        <v/>
      </c>
      <c r="O115" s="47">
        <f>SUM(O108:O114)</f>
        <v/>
      </c>
      <c r="P115" s="47">
        <f>SUM(P108:P114)</f>
        <v/>
      </c>
      <c r="Q115" s="47">
        <f>SUM(Q108:Q114)</f>
        <v/>
      </c>
      <c r="R115" s="46">
        <f>SUM(C115:Q115)</f>
        <v/>
      </c>
    </row>
    <row r="117">
      <c r="A117" s="7" t="inlineStr">
        <is>
          <t>Cash position</t>
        </is>
      </c>
      <c r="B117" s="8" t="n"/>
      <c r="C117" s="8" t="n"/>
      <c r="D117" s="8" t="n"/>
      <c r="E117" s="8" t="n"/>
      <c r="F117" s="8" t="n"/>
      <c r="G117" s="8" t="n"/>
      <c r="H117" s="8" t="n"/>
      <c r="I117" s="8" t="n"/>
      <c r="J117" s="8" t="n"/>
      <c r="K117" s="8" t="n"/>
      <c r="L117" s="8" t="n"/>
      <c r="M117" s="8" t="n"/>
      <c r="N117" s="8" t="n"/>
      <c r="O117" s="8" t="n"/>
      <c r="P117" s="8" t="n"/>
      <c r="Q117" s="8" t="n"/>
      <c r="R117" s="8" t="n"/>
    </row>
    <row r="118">
      <c r="A118" s="26" t="inlineStr">
        <is>
          <t>Net cash flow</t>
        </is>
      </c>
      <c r="C118" s="47">
        <f>C77-C84-C91-C96-C105-C115</f>
        <v/>
      </c>
      <c r="D118" s="47">
        <f>D77-D84-D91-D96-D105-D115</f>
        <v/>
      </c>
      <c r="E118" s="47">
        <f>E77-E84-E91-E96-E105-E115</f>
        <v/>
      </c>
      <c r="F118" s="47">
        <f>F77-F84-F91-F96-F105-F115</f>
        <v/>
      </c>
      <c r="G118" s="47">
        <f>G77-G84-G91-G96-G105-G115</f>
        <v/>
      </c>
      <c r="H118" s="47">
        <f>H77-H84-H91-H96-H105-H115</f>
        <v/>
      </c>
      <c r="I118" s="47">
        <f>I77-I84-I91-I96-I105-I115</f>
        <v/>
      </c>
      <c r="J118" s="47">
        <f>J77-J84-J91-J96-J105-J115</f>
        <v/>
      </c>
      <c r="K118" s="47">
        <f>K77-K84-K91-K96-K105-K115</f>
        <v/>
      </c>
      <c r="L118" s="47">
        <f>L77-L84-L91-L96-L105-L115</f>
        <v/>
      </c>
      <c r="M118" s="47">
        <f>M77-M84-M91-M96-M105-M115</f>
        <v/>
      </c>
      <c r="N118" s="47">
        <f>N77-N84-N91-N96-N105-N115</f>
        <v/>
      </c>
      <c r="O118" s="47">
        <f>O77-O84-O91-O96-O105-O115</f>
        <v/>
      </c>
      <c r="P118" s="47">
        <f>P77-P84-P91-P96-P105-P115</f>
        <v/>
      </c>
      <c r="Q118" s="47">
        <f>Q77-Q84-Q91-Q96-Q105-Q115</f>
        <v/>
      </c>
      <c r="R118" s="46">
        <f>SUM(C118:Q118)</f>
        <v/>
      </c>
    </row>
    <row r="119">
      <c r="A119" s="10" t="inlineStr">
        <is>
          <t>Cumulative net cash flow</t>
        </is>
      </c>
      <c r="C119" s="45">
        <f>C118</f>
        <v/>
      </c>
      <c r="D119" s="45">
        <f>C119+D118</f>
        <v/>
      </c>
      <c r="E119" s="45">
        <f>D119+E118</f>
        <v/>
      </c>
      <c r="F119" s="45">
        <f>E119+F118</f>
        <v/>
      </c>
      <c r="G119" s="45">
        <f>F119+G118</f>
        <v/>
      </c>
      <c r="H119" s="45">
        <f>G119+H118</f>
        <v/>
      </c>
      <c r="I119" s="45">
        <f>H119+I118</f>
        <v/>
      </c>
      <c r="J119" s="45">
        <f>I119+J118</f>
        <v/>
      </c>
      <c r="K119" s="45">
        <f>J119+K118</f>
        <v/>
      </c>
      <c r="L119" s="45">
        <f>K119+L118</f>
        <v/>
      </c>
      <c r="M119" s="45">
        <f>L119+M118</f>
        <v/>
      </c>
      <c r="N119" s="45">
        <f>M119+N118</f>
        <v/>
      </c>
      <c r="O119" s="45">
        <f>N119+O118</f>
        <v/>
      </c>
      <c r="P119" s="45">
        <f>O119+P118</f>
        <v/>
      </c>
      <c r="Q119" s="45">
        <f>P119+Q118</f>
        <v/>
      </c>
    </row>
    <row r="120">
      <c r="A120" s="26" t="inlineStr">
        <is>
          <t>Cash balance (starting cash + cumulative)</t>
        </is>
      </c>
      <c r="C120" s="47">
        <f>in_StartCash+C119</f>
        <v/>
      </c>
      <c r="D120" s="47">
        <f>in_StartCash+D119</f>
        <v/>
      </c>
      <c r="E120" s="47">
        <f>in_StartCash+E119</f>
        <v/>
      </c>
      <c r="F120" s="47">
        <f>in_StartCash+F119</f>
        <v/>
      </c>
      <c r="G120" s="47">
        <f>in_StartCash+G119</f>
        <v/>
      </c>
      <c r="H120" s="47">
        <f>in_StartCash+H119</f>
        <v/>
      </c>
      <c r="I120" s="47">
        <f>in_StartCash+I119</f>
        <v/>
      </c>
      <c r="J120" s="47">
        <f>in_StartCash+J119</f>
        <v/>
      </c>
      <c r="K120" s="47">
        <f>in_StartCash+K119</f>
        <v/>
      </c>
      <c r="L120" s="47">
        <f>in_StartCash+L119</f>
        <v/>
      </c>
      <c r="M120" s="47">
        <f>in_StartCash+M119</f>
        <v/>
      </c>
      <c r="N120" s="47">
        <f>in_StartCash+N119</f>
        <v/>
      </c>
      <c r="O120" s="47">
        <f>in_StartCash+O119</f>
        <v/>
      </c>
      <c r="P120" s="47">
        <f>in_StartCash+P119</f>
        <v/>
      </c>
      <c r="Q120" s="47">
        <f>in_StartCash+Q119</f>
        <v/>
      </c>
    </row>
    <row r="121">
      <c r="A121" s="10" t="inlineStr">
        <is>
          <t>Lowest cash month</t>
        </is>
      </c>
      <c r="B121" s="6" t="inlineStr">
        <is>
          <t>Flags the low point</t>
        </is>
      </c>
      <c r="C121" s="10">
        <f>IF(C120=MIN($C$120:$Q$120),"LOWEST","")</f>
        <v/>
      </c>
      <c r="D121" s="10">
        <f>IF(D120=MIN($C$120:$Q$120),"LOWEST","")</f>
        <v/>
      </c>
      <c r="E121" s="10">
        <f>IF(E120=MIN($C$120:$Q$120),"LOWEST","")</f>
        <v/>
      </c>
      <c r="F121" s="10">
        <f>IF(F120=MIN($C$120:$Q$120),"LOWEST","")</f>
        <v/>
      </c>
      <c r="G121" s="10">
        <f>IF(G120=MIN($C$120:$Q$120),"LOWEST","")</f>
        <v/>
      </c>
      <c r="H121" s="10">
        <f>IF(H120=MIN($C$120:$Q$120),"LOWEST","")</f>
        <v/>
      </c>
      <c r="I121" s="10">
        <f>IF(I120=MIN($C$120:$Q$120),"LOWEST","")</f>
        <v/>
      </c>
      <c r="J121" s="10">
        <f>IF(J120=MIN($C$120:$Q$120),"LOWEST","")</f>
        <v/>
      </c>
      <c r="K121" s="10">
        <f>IF(K120=MIN($C$120:$Q$120),"LOWEST","")</f>
        <v/>
      </c>
      <c r="L121" s="10">
        <f>IF(L120=MIN($C$120:$Q$120),"LOWEST","")</f>
        <v/>
      </c>
      <c r="M121" s="10">
        <f>IF(M120=MIN($C$120:$Q$120),"LOWEST","")</f>
        <v/>
      </c>
      <c r="N121" s="10">
        <f>IF(N120=MIN($C$120:$Q$120),"LOWEST","")</f>
        <v/>
      </c>
      <c r="O121" s="10">
        <f>IF(O120=MIN($C$120:$Q$120),"LOWEST","")</f>
        <v/>
      </c>
      <c r="P121" s="10">
        <f>IF(P120=MIN($C$120:$Q$120),"LOWEST","")</f>
        <v/>
      </c>
      <c r="Q121" s="10">
        <f>IF(Q120=MIN($C$120:$Q$120),"LOWEST","")</f>
        <v/>
      </c>
    </row>
    <row r="123">
      <c r="A123" s="7" t="inlineStr">
        <is>
          <t>Operating view (accrual memo: COGS on units sold, launch costs excluded)</t>
        </is>
      </c>
      <c r="B123" s="8" t="n"/>
      <c r="C123" s="8" t="n"/>
      <c r="D123" s="8" t="n"/>
      <c r="E123" s="8" t="n"/>
      <c r="F123" s="8" t="n"/>
      <c r="G123" s="8" t="n"/>
      <c r="H123" s="8" t="n"/>
      <c r="I123" s="8" t="n"/>
      <c r="J123" s="8" t="n"/>
      <c r="K123" s="8" t="n"/>
      <c r="L123" s="8" t="n"/>
      <c r="M123" s="8" t="n"/>
      <c r="N123" s="8" t="n"/>
      <c r="O123" s="8" t="n"/>
      <c r="P123" s="8" t="n"/>
      <c r="Q123" s="8" t="n"/>
      <c r="R123" s="8" t="n"/>
    </row>
    <row r="124">
      <c r="A124" s="10" t="inlineStr">
        <is>
          <t>Revenue (DTC + wholesale invoiced)</t>
        </is>
      </c>
      <c r="C124" s="45">
        <f>C74+C75</f>
        <v/>
      </c>
      <c r="D124" s="45">
        <f>D74+D75</f>
        <v/>
      </c>
      <c r="E124" s="45">
        <f>E74+E75</f>
        <v/>
      </c>
      <c r="F124" s="45">
        <f>F74+F75</f>
        <v/>
      </c>
      <c r="G124" s="45">
        <f>G74+G75</f>
        <v/>
      </c>
      <c r="H124" s="45">
        <f>H74+H75</f>
        <v/>
      </c>
      <c r="I124" s="45">
        <f>I74+I75</f>
        <v/>
      </c>
      <c r="J124" s="45">
        <f>J74+J75</f>
        <v/>
      </c>
      <c r="K124" s="45">
        <f>K74+K75</f>
        <v/>
      </c>
      <c r="L124" s="45">
        <f>L74+L75</f>
        <v/>
      </c>
      <c r="M124" s="45">
        <f>M74+M75</f>
        <v/>
      </c>
      <c r="N124" s="45">
        <f>N74+N75</f>
        <v/>
      </c>
      <c r="O124" s="45">
        <f>O74+O75</f>
        <v/>
      </c>
      <c r="P124" s="45">
        <f>P74+P75</f>
        <v/>
      </c>
      <c r="Q124" s="45">
        <f>Q74+Q75</f>
        <v/>
      </c>
      <c r="R124" s="46">
        <f>SUM(C124:Q124)</f>
        <v/>
      </c>
    </row>
    <row r="125">
      <c r="A125" s="10" t="inlineStr">
        <is>
          <t>COGS on units sold</t>
        </is>
      </c>
      <c r="C125" s="45">
        <f>C53*$B$6+C64*$B$7</f>
        <v/>
      </c>
      <c r="D125" s="45">
        <f>D53*$B$6+D64*$B$7</f>
        <v/>
      </c>
      <c r="E125" s="45">
        <f>E53*$B$6+E64*$B$7</f>
        <v/>
      </c>
      <c r="F125" s="45">
        <f>F53*$B$6+F64*$B$7</f>
        <v/>
      </c>
      <c r="G125" s="45">
        <f>G53*$B$6+G64*$B$7</f>
        <v/>
      </c>
      <c r="H125" s="45">
        <f>H53*$B$6+H64*$B$7</f>
        <v/>
      </c>
      <c r="I125" s="45">
        <f>I53*$B$6+I64*$B$7</f>
        <v/>
      </c>
      <c r="J125" s="45">
        <f>J53*$B$6+J64*$B$7</f>
        <v/>
      </c>
      <c r="K125" s="45">
        <f>K53*$B$6+K64*$B$7</f>
        <v/>
      </c>
      <c r="L125" s="45">
        <f>L53*$B$6+L64*$B$7</f>
        <v/>
      </c>
      <c r="M125" s="45">
        <f>M53*$B$6+M64*$B$7</f>
        <v/>
      </c>
      <c r="N125" s="45">
        <f>N53*$B$6+N64*$B$7</f>
        <v/>
      </c>
      <c r="O125" s="45">
        <f>O53*$B$6+O64*$B$7</f>
        <v/>
      </c>
      <c r="P125" s="45">
        <f>P53*$B$6+P64*$B$7</f>
        <v/>
      </c>
      <c r="Q125" s="45">
        <f>Q53*$B$6+Q64*$B$7</f>
        <v/>
      </c>
      <c r="R125" s="46">
        <f>SUM(C125:Q125)</f>
        <v/>
      </c>
    </row>
    <row r="126">
      <c r="A126" s="26" t="inlineStr">
        <is>
          <t>Operating profit (revenue - COGS - variable - marketing - fixed)</t>
        </is>
      </c>
      <c r="C126" s="47">
        <f>C124-C125-C91-C96-C105</f>
        <v/>
      </c>
      <c r="D126" s="47">
        <f>D124-D125-D91-D96-D105</f>
        <v/>
      </c>
      <c r="E126" s="47">
        <f>E124-E125-E91-E96-E105</f>
        <v/>
      </c>
      <c r="F126" s="47">
        <f>F124-F125-F91-F96-F105</f>
        <v/>
      </c>
      <c r="G126" s="47">
        <f>G124-G125-G91-G96-G105</f>
        <v/>
      </c>
      <c r="H126" s="47">
        <f>H124-H125-H91-H96-H105</f>
        <v/>
      </c>
      <c r="I126" s="47">
        <f>I124-I125-I91-I96-I105</f>
        <v/>
      </c>
      <c r="J126" s="47">
        <f>J124-J125-J91-J96-J105</f>
        <v/>
      </c>
      <c r="K126" s="47">
        <f>K124-K125-K91-K96-K105</f>
        <v/>
      </c>
      <c r="L126" s="47">
        <f>L124-L125-L91-L96-L105</f>
        <v/>
      </c>
      <c r="M126" s="47">
        <f>M124-M125-M91-M96-M105</f>
        <v/>
      </c>
      <c r="N126" s="47">
        <f>N124-N125-N91-N96-N105</f>
        <v/>
      </c>
      <c r="O126" s="47">
        <f>O124-O125-O91-O96-O105</f>
        <v/>
      </c>
      <c r="P126" s="47">
        <f>P124-P125-P91-P96-P105</f>
        <v/>
      </c>
      <c r="Q126" s="47">
        <f>Q124-Q125-Q91-Q96-Q105</f>
        <v/>
      </c>
      <c r="R126" s="46">
        <f>SUM(C126:Q126)</f>
        <v/>
      </c>
    </row>
    <row r="127">
      <c r="A127" s="10" t="inlineStr">
        <is>
          <t>Operating break-even flag (1 = profit &gt;= 0 while selling)</t>
        </is>
      </c>
      <c r="C127" s="39">
        <f>IF(AND(C24=1,C126&gt;=0),1,0)</f>
        <v/>
      </c>
      <c r="D127" s="39">
        <f>IF(AND(D24=1,D126&gt;=0),1,0)</f>
        <v/>
      </c>
      <c r="E127" s="39">
        <f>IF(AND(E24=1,E126&gt;=0),1,0)</f>
        <v/>
      </c>
      <c r="F127" s="39">
        <f>IF(AND(F24=1,F126&gt;=0),1,0)</f>
        <v/>
      </c>
      <c r="G127" s="39">
        <f>IF(AND(G24=1,G126&gt;=0),1,0)</f>
        <v/>
      </c>
      <c r="H127" s="39">
        <f>IF(AND(H24=1,H126&gt;=0),1,0)</f>
        <v/>
      </c>
      <c r="I127" s="39">
        <f>IF(AND(I24=1,I126&gt;=0),1,0)</f>
        <v/>
      </c>
      <c r="J127" s="39">
        <f>IF(AND(J24=1,J126&gt;=0),1,0)</f>
        <v/>
      </c>
      <c r="K127" s="39">
        <f>IF(AND(K24=1,K126&gt;=0),1,0)</f>
        <v/>
      </c>
      <c r="L127" s="39">
        <f>IF(AND(L24=1,L126&gt;=0),1,0)</f>
        <v/>
      </c>
      <c r="M127" s="39">
        <f>IF(AND(M24=1,M126&gt;=0),1,0)</f>
        <v/>
      </c>
      <c r="N127" s="39">
        <f>IF(AND(N24=1,N126&gt;=0),1,0)</f>
        <v/>
      </c>
      <c r="O127" s="39">
        <f>IF(AND(O24=1,O126&gt;=0),1,0)</f>
        <v/>
      </c>
      <c r="P127" s="39">
        <f>IF(AND(P24=1,P126&gt;=0),1,0)</f>
        <v/>
      </c>
      <c r="Q127" s="39">
        <f>IF(AND(Q24=1,Q126&gt;=0),1,0)</f>
        <v/>
      </c>
    </row>
    <row r="128">
      <c r="A128" s="10" t="inlineStr">
        <is>
          <t>Cash payback flag (1 = cumulative net cash &gt;= 0 while selling)</t>
        </is>
      </c>
      <c r="C128" s="39">
        <f>IF(AND(C24=1,C119&gt;=0),1,0)</f>
        <v/>
      </c>
      <c r="D128" s="39">
        <f>IF(AND(D24=1,D119&gt;=0),1,0)</f>
        <v/>
      </c>
      <c r="E128" s="39">
        <f>IF(AND(E24=1,E119&gt;=0),1,0)</f>
        <v/>
      </c>
      <c r="F128" s="39">
        <f>IF(AND(F24=1,F119&gt;=0),1,0)</f>
        <v/>
      </c>
      <c r="G128" s="39">
        <f>IF(AND(G24=1,G119&gt;=0),1,0)</f>
        <v/>
      </c>
      <c r="H128" s="39">
        <f>IF(AND(H24=1,H119&gt;=0),1,0)</f>
        <v/>
      </c>
      <c r="I128" s="39">
        <f>IF(AND(I24=1,I119&gt;=0),1,0)</f>
        <v/>
      </c>
      <c r="J128" s="39">
        <f>IF(AND(J24=1,J119&gt;=0),1,0)</f>
        <v/>
      </c>
      <c r="K128" s="39">
        <f>IF(AND(K24=1,K119&gt;=0),1,0)</f>
        <v/>
      </c>
      <c r="L128" s="39">
        <f>IF(AND(L24=1,L119&gt;=0),1,0)</f>
        <v/>
      </c>
      <c r="M128" s="39">
        <f>IF(AND(M24=1,M119&gt;=0),1,0)</f>
        <v/>
      </c>
      <c r="N128" s="39">
        <f>IF(AND(N24=1,N119&gt;=0),1,0)</f>
        <v/>
      </c>
      <c r="O128" s="39">
        <f>IF(AND(O24=1,O119&gt;=0),1,0)</f>
        <v/>
      </c>
      <c r="P128" s="39">
        <f>IF(AND(P24=1,P119&gt;=0),1,0)</f>
        <v/>
      </c>
      <c r="Q128" s="39">
        <f>IF(AND(Q24=1,Q119&gt;=0),1,0)</f>
        <v/>
      </c>
    </row>
    <row r="129">
      <c r="A129" s="10" t="inlineStr">
        <is>
          <t>Closing inventory at cost</t>
        </is>
      </c>
      <c r="C129" s="45">
        <f>C55*$B$6+C66*$B$7</f>
        <v/>
      </c>
      <c r="D129" s="45">
        <f>D55*$B$6+D66*$B$7</f>
        <v/>
      </c>
      <c r="E129" s="45">
        <f>E55*$B$6+E66*$B$7</f>
        <v/>
      </c>
      <c r="F129" s="45">
        <f>F55*$B$6+F66*$B$7</f>
        <v/>
      </c>
      <c r="G129" s="45">
        <f>G55*$B$6+G66*$B$7</f>
        <v/>
      </c>
      <c r="H129" s="45">
        <f>H55*$B$6+H66*$B$7</f>
        <v/>
      </c>
      <c r="I129" s="45">
        <f>I55*$B$6+I66*$B$7</f>
        <v/>
      </c>
      <c r="J129" s="45">
        <f>J55*$B$6+J66*$B$7</f>
        <v/>
      </c>
      <c r="K129" s="45">
        <f>K55*$B$6+K66*$B$7</f>
        <v/>
      </c>
      <c r="L129" s="45">
        <f>L55*$B$6+L66*$B$7</f>
        <v/>
      </c>
      <c r="M129" s="45">
        <f>M55*$B$6+M66*$B$7</f>
        <v/>
      </c>
      <c r="N129" s="45">
        <f>N55*$B$6+N66*$B$7</f>
        <v/>
      </c>
      <c r="O129" s="45">
        <f>O55*$B$6+O66*$B$7</f>
        <v/>
      </c>
      <c r="P129" s="45">
        <f>P55*$B$6+P66*$B$7</f>
        <v/>
      </c>
      <c r="Q129" s="45">
        <f>Q55*$B$6+Q66*$B$7</f>
        <v/>
      </c>
    </row>
  </sheetData>
  <conditionalFormatting sqref="C120:Q120">
    <cfRule type="expression" priority="1" dxfId="0">
      <formula>C120=MIN($C$120:$Q$120)</formula>
    </cfRule>
  </conditionalFormatting>
  <conditionalFormatting sqref="C121:Q121">
    <cfRule type="expression" priority="2" dxfId="0">
      <formula>C121="LOWEST"</formula>
    </cfRule>
  </conditionalFormatting>
  <conditionalFormatting sqref="C118:Q118">
    <cfRule type="expression" priority="3" dxfId="1">
      <formula>C118&lt;0</formula>
    </cfRule>
  </conditionalFormatting>
  <conditionalFormatting sqref="C54:Q54">
    <cfRule type="expression" priority="4" dxfId="2">
      <formula>C54&gt;0</formula>
    </cfRule>
  </conditionalFormatting>
  <conditionalFormatting sqref="C65:Q65">
    <cfRule type="expression" priority="5" dxfId="2">
      <formula>C65&gt;0</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29"/>
  <sheetViews>
    <sheetView tabSelected="0" workbookViewId="0">
      <pane xSplit="2" ySplit="23" topLeftCell="C24" activePane="bottomRight" state="frozen"/>
      <selection pane="topRight"/>
      <selection pane="bottomLeft"/>
      <selection pane="bottomRight" activeCell="A1" sqref="A1"/>
    </sheetView>
  </sheetViews>
  <sheetFormatPr baseColWidth="8" defaultRowHeight="15"/>
  <cols>
    <col width="58" customWidth="1" min="1" max="1"/>
    <col width="16"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3" customWidth="1" min="18" max="18"/>
  </cols>
  <sheetData>
    <row r="1">
      <c r="A1" s="5" t="inlineStr">
        <is>
          <t>Calculation copy: Standard runs, Low demand (feeds Scenarios; do not edit)</t>
        </is>
      </c>
    </row>
    <row r="2">
      <c r="A2" s="6" t="inlineStr">
        <is>
          <t>Months Oct 2026 to Dec 2027. All figures are projections from the Inputs sheet, not actual results. Cash view: inventory is a cash outflow when bought; COGS appears only in the operating view at the bottom.</t>
        </is>
      </c>
    </row>
    <row r="3">
      <c r="A3" s="10" t="inlineStr">
        <is>
          <t>Run-size mode</t>
        </is>
      </c>
      <c r="B3" s="30">
        <f>"Standard"</f>
        <v/>
      </c>
    </row>
    <row r="4">
      <c r="A4" s="10" t="inlineStr">
        <is>
          <t>Demand multiplier</t>
        </is>
      </c>
      <c r="B4" s="31">
        <f>in_MultLow</f>
        <v/>
      </c>
    </row>
    <row r="5">
      <c r="A5" s="10" t="inlineStr">
        <is>
          <t>Demand case</t>
        </is>
      </c>
      <c r="B5" s="30">
        <f>"Low"</f>
        <v/>
      </c>
    </row>
    <row r="6">
      <c r="A6" s="10" t="inlineStr">
        <is>
          <t>Pouch cost of goods (by mode)</t>
        </is>
      </c>
      <c r="B6" s="32">
        <f>IF($B$3="Lean",in_CogsLean,in_CogsStd)</f>
        <v/>
      </c>
    </row>
    <row r="7">
      <c r="A7" s="10" t="inlineStr">
        <is>
          <t>Stick cost of goods (by mode)</t>
        </is>
      </c>
      <c r="B7" s="32">
        <f>IF($B$3="Lean",in_StickCogsLean,in_StickCogsStd)</f>
        <v/>
      </c>
    </row>
    <row r="8">
      <c r="A8" s="10" t="inlineStr">
        <is>
          <t>Pouch run size (by mode)</t>
        </is>
      </c>
      <c r="B8" s="33">
        <f>IF($B$3="Lean",in_RunLean,in_RunStd)</f>
        <v/>
      </c>
    </row>
    <row r="9">
      <c r="A9" s="10" t="inlineStr">
        <is>
          <t>Stick run size (by mode)</t>
        </is>
      </c>
      <c r="B9" s="33">
        <f>IF($B$3="Lean",in_StickRunLean,in_StickRunStd)</f>
        <v/>
      </c>
    </row>
    <row r="10">
      <c r="A10" s="10" t="inlineStr">
        <is>
          <t>Sample credit on first order (by mode)</t>
        </is>
      </c>
      <c r="B10" s="34">
        <f>IF($B$3="Lean",in_SampleCreditLean,in_SampleCreditStd)</f>
        <v/>
      </c>
    </row>
    <row r="12">
      <c r="A12" s="7" t="inlineStr">
        <is>
          <t>Summary for this sheet's mode and case</t>
        </is>
      </c>
      <c r="B12" s="8" t="n"/>
    </row>
    <row r="13">
      <c r="A13" s="10" t="inlineStr">
        <is>
          <t>Lowest cash balance</t>
        </is>
      </c>
      <c r="B13" s="35">
        <f>MIN($C$120:$Q$120)</f>
        <v/>
      </c>
    </row>
    <row r="14">
      <c r="A14" s="10" t="inlineStr">
        <is>
          <t>Month of lowest cash balance</t>
        </is>
      </c>
      <c r="B14" s="36">
        <f>INDEX($C$23:$Q$23,MATCH(MIN($C$120:$Q$120),$C$120:$Q$120,0))</f>
        <v/>
      </c>
    </row>
    <row r="15">
      <c r="A15" s="10" t="inlineStr">
        <is>
          <t>Peak funding need (lowest cumulative net cash flow)</t>
        </is>
      </c>
      <c r="B15" s="35">
        <f>MIN(0,MIN($C$119:$Q$119))</f>
        <v/>
      </c>
    </row>
    <row r="16">
      <c r="A16" s="10" t="inlineStr">
        <is>
          <t>Operating break-even month (first month operating profit &gt;= 0)</t>
        </is>
      </c>
      <c r="B16" s="36">
        <f>IFERROR(INDEX($C$23:$Q$23,MATCH(1,$C$127:$Q$127,0)),"Not by Dec 2027")</f>
        <v/>
      </c>
    </row>
    <row r="17">
      <c r="A17" s="10" t="inlineStr">
        <is>
          <t>Cash payback month (cumulative net cash flow back to &gt;= 0)</t>
        </is>
      </c>
      <c r="B17" s="36">
        <f>IFERROR(INDEX($C$23:$Q$23,MATCH(1,$C$128:$Q$128,0)),"Not by Dec 2027")</f>
        <v/>
      </c>
    </row>
    <row r="18">
      <c r="A18" s="10" t="inlineStr">
        <is>
          <t>Cash balance, end of Jun 2027</t>
        </is>
      </c>
      <c r="B18" s="35">
        <f>IFERROR(INDEX($C$120:$Q$120,MATCH(DATE(2027,6,1),$C$23:$Q$23,0)),"n/a")</f>
        <v/>
      </c>
    </row>
    <row r="19">
      <c r="A19" s="10" t="inlineStr">
        <is>
          <t>Cash balance, end of Dec 2027</t>
        </is>
      </c>
      <c r="B19" s="35">
        <f>IFERROR(INDEX($C$120:$Q$120,MATCH(DATE(2027,12,1),$C$23:$Q$23,0)),"n/a")</f>
        <v/>
      </c>
    </row>
    <row r="20">
      <c r="A20" s="10" t="inlineStr">
        <is>
          <t>Stockout check (pouch + stick units short; should be 0)</t>
        </is>
      </c>
      <c r="B20" s="37">
        <f>SUM($C$54:$Q$54)+SUM($C$65:$Q$65)</f>
        <v/>
      </c>
    </row>
    <row r="21">
      <c r="A21" s="10" t="inlineStr">
        <is>
          <t>Operating profit, Oct 2026 to Dec 2027 (launch costs excluded)</t>
        </is>
      </c>
      <c r="B21" s="35">
        <f>SUM($C$126:$Q$126)</f>
        <v/>
      </c>
    </row>
    <row r="23">
      <c r="A23" s="9" t="inlineStr">
        <is>
          <t>Line</t>
        </is>
      </c>
      <c r="B23" s="9" t="inlineStr">
        <is>
          <t>Note</t>
        </is>
      </c>
      <c r="C23" s="38">
        <f>DATE(YEAR(in_ModelStart),MONTH(in_ModelStart),1)</f>
        <v/>
      </c>
      <c r="D23" s="38">
        <f>EDATE(C23,1)</f>
        <v/>
      </c>
      <c r="E23" s="38">
        <f>EDATE(D23,1)</f>
        <v/>
      </c>
      <c r="F23" s="38">
        <f>EDATE(E23,1)</f>
        <v/>
      </c>
      <c r="G23" s="38">
        <f>EDATE(F23,1)</f>
        <v/>
      </c>
      <c r="H23" s="38">
        <f>EDATE(G23,1)</f>
        <v/>
      </c>
      <c r="I23" s="38">
        <f>EDATE(H23,1)</f>
        <v/>
      </c>
      <c r="J23" s="38">
        <f>EDATE(I23,1)</f>
        <v/>
      </c>
      <c r="K23" s="38">
        <f>EDATE(J23,1)</f>
        <v/>
      </c>
      <c r="L23" s="38">
        <f>EDATE(K23,1)</f>
        <v/>
      </c>
      <c r="M23" s="38">
        <f>EDATE(L23,1)</f>
        <v/>
      </c>
      <c r="N23" s="38">
        <f>EDATE(M23,1)</f>
        <v/>
      </c>
      <c r="O23" s="38">
        <f>EDATE(N23,1)</f>
        <v/>
      </c>
      <c r="P23" s="38">
        <f>EDATE(O23,1)</f>
        <v/>
      </c>
      <c r="Q23" s="38">
        <f>EDATE(P23,1)</f>
        <v/>
      </c>
      <c r="R23" s="9" t="inlineStr">
        <is>
          <t>Total</t>
        </is>
      </c>
    </row>
    <row r="24">
      <c r="A24" s="10" t="inlineStr">
        <is>
          <t>Selling? (1 from the first ship month)</t>
        </is>
      </c>
      <c r="C24" s="39">
        <f>IF(C$23&gt;=DATE(YEAR(in_FirstShip),MONTH(in_FirstShip),1),1,0)</f>
        <v/>
      </c>
      <c r="D24" s="39">
        <f>IF(D$23&gt;=DATE(YEAR(in_FirstShip),MONTH(in_FirstShip),1),1,0)</f>
        <v/>
      </c>
      <c r="E24" s="39">
        <f>IF(E$23&gt;=DATE(YEAR(in_FirstShip),MONTH(in_FirstShip),1),1,0)</f>
        <v/>
      </c>
      <c r="F24" s="39">
        <f>IF(F$23&gt;=DATE(YEAR(in_FirstShip),MONTH(in_FirstShip),1),1,0)</f>
        <v/>
      </c>
      <c r="G24" s="39">
        <f>IF(G$23&gt;=DATE(YEAR(in_FirstShip),MONTH(in_FirstShip),1),1,0)</f>
        <v/>
      </c>
      <c r="H24" s="39">
        <f>IF(H$23&gt;=DATE(YEAR(in_FirstShip),MONTH(in_FirstShip),1),1,0)</f>
        <v/>
      </c>
      <c r="I24" s="39">
        <f>IF(I$23&gt;=DATE(YEAR(in_FirstShip),MONTH(in_FirstShip),1),1,0)</f>
        <v/>
      </c>
      <c r="J24" s="39">
        <f>IF(J$23&gt;=DATE(YEAR(in_FirstShip),MONTH(in_FirstShip),1),1,0)</f>
        <v/>
      </c>
      <c r="K24" s="39">
        <f>IF(K$23&gt;=DATE(YEAR(in_FirstShip),MONTH(in_FirstShip),1),1,0)</f>
        <v/>
      </c>
      <c r="L24" s="39">
        <f>IF(L$23&gt;=DATE(YEAR(in_FirstShip),MONTH(in_FirstShip),1),1,0)</f>
        <v/>
      </c>
      <c r="M24" s="39">
        <f>IF(M$23&gt;=DATE(YEAR(in_FirstShip),MONTH(in_FirstShip),1),1,0)</f>
        <v/>
      </c>
      <c r="N24" s="39">
        <f>IF(N$23&gt;=DATE(YEAR(in_FirstShip),MONTH(in_FirstShip),1),1,0)</f>
        <v/>
      </c>
      <c r="O24" s="39">
        <f>IF(O$23&gt;=DATE(YEAR(in_FirstShip),MONTH(in_FirstShip),1),1,0)</f>
        <v/>
      </c>
      <c r="P24" s="39">
        <f>IF(P$23&gt;=DATE(YEAR(in_FirstShip),MONTH(in_FirstShip),1),1,0)</f>
        <v/>
      </c>
      <c r="Q24" s="39">
        <f>IF(Q$23&gt;=DATE(YEAR(in_FirstShip),MONTH(in_FirstShip),1),1,0)</f>
        <v/>
      </c>
    </row>
    <row r="26">
      <c r="A26" s="7" t="inlineStr">
        <is>
          <t>DTC customers and orders</t>
        </is>
      </c>
      <c r="B26" s="8" t="n"/>
      <c r="C26" s="8" t="n"/>
      <c r="D26" s="8" t="n"/>
      <c r="E26" s="8" t="n"/>
      <c r="F26" s="8" t="n"/>
      <c r="G26" s="8" t="n"/>
      <c r="H26" s="8" t="n"/>
      <c r="I26" s="8" t="n"/>
      <c r="J26" s="8" t="n"/>
      <c r="K26" s="8" t="n"/>
      <c r="L26" s="8" t="n"/>
      <c r="M26" s="8" t="n"/>
      <c r="N26" s="8" t="n"/>
      <c r="O26" s="8" t="n"/>
      <c r="P26" s="8" t="n"/>
      <c r="Q26" s="8" t="n"/>
      <c r="R26" s="8" t="n"/>
    </row>
    <row r="27">
      <c r="A27" s="10" t="inlineStr">
        <is>
          <t>Waitlist first orders (first ship month only)</t>
        </is>
      </c>
      <c r="B27" s="6" t="inlineStr">
        <is>
          <t>Waitlist x conversion</t>
        </is>
      </c>
      <c r="C27" s="40">
        <f>IF(EOMONTH(in_FirstShip,0)=EOMONTH(C$23,0),in_WaitSize*in_WaitConv*$B$4,0)</f>
        <v/>
      </c>
      <c r="D27" s="40">
        <f>IF(EOMONTH(in_FirstShip,0)=EOMONTH(D$23,0),in_WaitSize*in_WaitConv*$B$4,0)</f>
        <v/>
      </c>
      <c r="E27" s="40">
        <f>IF(EOMONTH(in_FirstShip,0)=EOMONTH(E$23,0),in_WaitSize*in_WaitConv*$B$4,0)</f>
        <v/>
      </c>
      <c r="F27" s="40">
        <f>IF(EOMONTH(in_FirstShip,0)=EOMONTH(F$23,0),in_WaitSize*in_WaitConv*$B$4,0)</f>
        <v/>
      </c>
      <c r="G27" s="40">
        <f>IF(EOMONTH(in_FirstShip,0)=EOMONTH(G$23,0),in_WaitSize*in_WaitConv*$B$4,0)</f>
        <v/>
      </c>
      <c r="H27" s="40">
        <f>IF(EOMONTH(in_FirstShip,0)=EOMONTH(H$23,0),in_WaitSize*in_WaitConv*$B$4,0)</f>
        <v/>
      </c>
      <c r="I27" s="40">
        <f>IF(EOMONTH(in_FirstShip,0)=EOMONTH(I$23,0),in_WaitSize*in_WaitConv*$B$4,0)</f>
        <v/>
      </c>
      <c r="J27" s="40">
        <f>IF(EOMONTH(in_FirstShip,0)=EOMONTH(J$23,0),in_WaitSize*in_WaitConv*$B$4,0)</f>
        <v/>
      </c>
      <c r="K27" s="40">
        <f>IF(EOMONTH(in_FirstShip,0)=EOMONTH(K$23,0),in_WaitSize*in_WaitConv*$B$4,0)</f>
        <v/>
      </c>
      <c r="L27" s="40">
        <f>IF(EOMONTH(in_FirstShip,0)=EOMONTH(L$23,0),in_WaitSize*in_WaitConv*$B$4,0)</f>
        <v/>
      </c>
      <c r="M27" s="40">
        <f>IF(EOMONTH(in_FirstShip,0)=EOMONTH(M$23,0),in_WaitSize*in_WaitConv*$B$4,0)</f>
        <v/>
      </c>
      <c r="N27" s="40">
        <f>IF(EOMONTH(in_FirstShip,0)=EOMONTH(N$23,0),in_WaitSize*in_WaitConv*$B$4,0)</f>
        <v/>
      </c>
      <c r="O27" s="40">
        <f>IF(EOMONTH(in_FirstShip,0)=EOMONTH(O$23,0),in_WaitSize*in_WaitConv*$B$4,0)</f>
        <v/>
      </c>
      <c r="P27" s="40">
        <f>IF(EOMONTH(in_FirstShip,0)=EOMONTH(P$23,0),in_WaitSize*in_WaitConv*$B$4,0)</f>
        <v/>
      </c>
      <c r="Q27" s="40">
        <f>IF(EOMONTH(in_FirstShip,0)=EOMONTH(Q$23,0),in_WaitSize*in_WaitConv*$B$4,0)</f>
        <v/>
      </c>
      <c r="R27" s="41">
        <f>SUM(C27:Q27)</f>
        <v/>
      </c>
    </row>
    <row r="28">
      <c r="A28" s="10" t="inlineStr">
        <is>
          <t>Organic new customers</t>
        </is>
      </c>
      <c r="C28" s="40">
        <f>IFERROR(INDEX(Inputs!$B$98:$B$107,MATCH(C$23,Inputs!$A$98:$A$107,0)),0)*$B$4*C24</f>
        <v/>
      </c>
      <c r="D28" s="40">
        <f>IFERROR(INDEX(Inputs!$B$98:$B$107,MATCH(D$23,Inputs!$A$98:$A$107,0)),0)*$B$4*D24</f>
        <v/>
      </c>
      <c r="E28" s="40">
        <f>IFERROR(INDEX(Inputs!$B$98:$B$107,MATCH(E$23,Inputs!$A$98:$A$107,0)),0)*$B$4*E24</f>
        <v/>
      </c>
      <c r="F28" s="40">
        <f>IFERROR(INDEX(Inputs!$B$98:$B$107,MATCH(F$23,Inputs!$A$98:$A$107,0)),0)*$B$4*F24</f>
        <v/>
      </c>
      <c r="G28" s="40">
        <f>IFERROR(INDEX(Inputs!$B$98:$B$107,MATCH(G$23,Inputs!$A$98:$A$107,0)),0)*$B$4*G24</f>
        <v/>
      </c>
      <c r="H28" s="40">
        <f>IFERROR(INDEX(Inputs!$B$98:$B$107,MATCH(H$23,Inputs!$A$98:$A$107,0)),0)*$B$4*H24</f>
        <v/>
      </c>
      <c r="I28" s="40">
        <f>IFERROR(INDEX(Inputs!$B$98:$B$107,MATCH(I$23,Inputs!$A$98:$A$107,0)),0)*$B$4*I24</f>
        <v/>
      </c>
      <c r="J28" s="40">
        <f>IFERROR(INDEX(Inputs!$B$98:$B$107,MATCH(J$23,Inputs!$A$98:$A$107,0)),0)*$B$4*J24</f>
        <v/>
      </c>
      <c r="K28" s="40">
        <f>IFERROR(INDEX(Inputs!$B$98:$B$107,MATCH(K$23,Inputs!$A$98:$A$107,0)),0)*$B$4*K24</f>
        <v/>
      </c>
      <c r="L28" s="40">
        <f>IFERROR(INDEX(Inputs!$B$98:$B$107,MATCH(L$23,Inputs!$A$98:$A$107,0)),0)*$B$4*L24</f>
        <v/>
      </c>
      <c r="M28" s="40">
        <f>IFERROR(INDEX(Inputs!$B$98:$B$107,MATCH(M$23,Inputs!$A$98:$A$107,0)),0)*$B$4*M24</f>
        <v/>
      </c>
      <c r="N28" s="40">
        <f>IFERROR(INDEX(Inputs!$B$98:$B$107,MATCH(N$23,Inputs!$A$98:$A$107,0)),0)*$B$4*N24</f>
        <v/>
      </c>
      <c r="O28" s="40">
        <f>IFERROR(INDEX(Inputs!$B$98:$B$107,MATCH(O$23,Inputs!$A$98:$A$107,0)),0)*$B$4*O24</f>
        <v/>
      </c>
      <c r="P28" s="40">
        <f>IFERROR(INDEX(Inputs!$B$98:$B$107,MATCH(P$23,Inputs!$A$98:$A$107,0)),0)*$B$4*P24</f>
        <v/>
      </c>
      <c r="Q28" s="40">
        <f>IFERROR(INDEX(Inputs!$B$98:$B$107,MATCH(Q$23,Inputs!$A$98:$A$107,0)),0)*$B$4*Q24</f>
        <v/>
      </c>
      <c r="R28" s="41">
        <f>SUM(C28:Q28)</f>
        <v/>
      </c>
    </row>
    <row r="29">
      <c r="A29" s="10" t="inlineStr">
        <is>
          <t>Paid new customers</t>
        </is>
      </c>
      <c r="C29" s="40">
        <f>IFERROR(INDEX(Inputs!$C$98:$C$107,MATCH(C$23,Inputs!$A$98:$A$107,0)),0)*$B$4*C24</f>
        <v/>
      </c>
      <c r="D29" s="40">
        <f>IFERROR(INDEX(Inputs!$C$98:$C$107,MATCH(D$23,Inputs!$A$98:$A$107,0)),0)*$B$4*D24</f>
        <v/>
      </c>
      <c r="E29" s="40">
        <f>IFERROR(INDEX(Inputs!$C$98:$C$107,MATCH(E$23,Inputs!$A$98:$A$107,0)),0)*$B$4*E24</f>
        <v/>
      </c>
      <c r="F29" s="40">
        <f>IFERROR(INDEX(Inputs!$C$98:$C$107,MATCH(F$23,Inputs!$A$98:$A$107,0)),0)*$B$4*F24</f>
        <v/>
      </c>
      <c r="G29" s="40">
        <f>IFERROR(INDEX(Inputs!$C$98:$C$107,MATCH(G$23,Inputs!$A$98:$A$107,0)),0)*$B$4*G24</f>
        <v/>
      </c>
      <c r="H29" s="40">
        <f>IFERROR(INDEX(Inputs!$C$98:$C$107,MATCH(H$23,Inputs!$A$98:$A$107,0)),0)*$B$4*H24</f>
        <v/>
      </c>
      <c r="I29" s="40">
        <f>IFERROR(INDEX(Inputs!$C$98:$C$107,MATCH(I$23,Inputs!$A$98:$A$107,0)),0)*$B$4*I24</f>
        <v/>
      </c>
      <c r="J29" s="40">
        <f>IFERROR(INDEX(Inputs!$C$98:$C$107,MATCH(J$23,Inputs!$A$98:$A$107,0)),0)*$B$4*J24</f>
        <v/>
      </c>
      <c r="K29" s="40">
        <f>IFERROR(INDEX(Inputs!$C$98:$C$107,MATCH(K$23,Inputs!$A$98:$A$107,0)),0)*$B$4*K24</f>
        <v/>
      </c>
      <c r="L29" s="40">
        <f>IFERROR(INDEX(Inputs!$C$98:$C$107,MATCH(L$23,Inputs!$A$98:$A$107,0)),0)*$B$4*L24</f>
        <v/>
      </c>
      <c r="M29" s="40">
        <f>IFERROR(INDEX(Inputs!$C$98:$C$107,MATCH(M$23,Inputs!$A$98:$A$107,0)),0)*$B$4*M24</f>
        <v/>
      </c>
      <c r="N29" s="40">
        <f>IFERROR(INDEX(Inputs!$C$98:$C$107,MATCH(N$23,Inputs!$A$98:$A$107,0)),0)*$B$4*N24</f>
        <v/>
      </c>
      <c r="O29" s="40">
        <f>IFERROR(INDEX(Inputs!$C$98:$C$107,MATCH(O$23,Inputs!$A$98:$A$107,0)),0)*$B$4*O24</f>
        <v/>
      </c>
      <c r="P29" s="40">
        <f>IFERROR(INDEX(Inputs!$C$98:$C$107,MATCH(P$23,Inputs!$A$98:$A$107,0)),0)*$B$4*P24</f>
        <v/>
      </c>
      <c r="Q29" s="40">
        <f>IFERROR(INDEX(Inputs!$C$98:$C$107,MATCH(Q$23,Inputs!$A$98:$A$107,0)),0)*$B$4*Q24</f>
        <v/>
      </c>
      <c r="R29" s="41">
        <f>SUM(C29:Q29)</f>
        <v/>
      </c>
    </row>
    <row r="30">
      <c r="A30" s="26" t="inlineStr">
        <is>
          <t>Total new DTC customers</t>
        </is>
      </c>
      <c r="C30" s="42">
        <f>C27+C28+C29</f>
        <v/>
      </c>
      <c r="D30" s="42">
        <f>D27+D28+D29</f>
        <v/>
      </c>
      <c r="E30" s="42">
        <f>E27+E28+E29</f>
        <v/>
      </c>
      <c r="F30" s="42">
        <f>F27+F28+F29</f>
        <v/>
      </c>
      <c r="G30" s="42">
        <f>G27+G28+G29</f>
        <v/>
      </c>
      <c r="H30" s="42">
        <f>H27+H28+H29</f>
        <v/>
      </c>
      <c r="I30" s="42">
        <f>I27+I28+I29</f>
        <v/>
      </c>
      <c r="J30" s="42">
        <f>J27+J28+J29</f>
        <v/>
      </c>
      <c r="K30" s="42">
        <f>K27+K28+K29</f>
        <v/>
      </c>
      <c r="L30" s="42">
        <f>L27+L28+L29</f>
        <v/>
      </c>
      <c r="M30" s="42">
        <f>M27+M28+M29</f>
        <v/>
      </c>
      <c r="N30" s="42">
        <f>N27+N28+N29</f>
        <v/>
      </c>
      <c r="O30" s="42">
        <f>O27+O28+O29</f>
        <v/>
      </c>
      <c r="P30" s="42">
        <f>P27+P28+P29</f>
        <v/>
      </c>
      <c r="Q30" s="42">
        <f>Q27+Q28+Q29</f>
        <v/>
      </c>
      <c r="R30" s="41">
        <f>SUM(C30:Q30)</f>
        <v/>
      </c>
    </row>
    <row r="31">
      <c r="A31" s="10" t="inlineStr">
        <is>
          <t>New subscribers</t>
        </is>
      </c>
      <c r="C31" s="40">
        <f>C30*in_SubShare</f>
        <v/>
      </c>
      <c r="D31" s="40">
        <f>D30*in_SubShare</f>
        <v/>
      </c>
      <c r="E31" s="40">
        <f>E30*in_SubShare</f>
        <v/>
      </c>
      <c r="F31" s="40">
        <f>F30*in_SubShare</f>
        <v/>
      </c>
      <c r="G31" s="40">
        <f>G30*in_SubShare</f>
        <v/>
      </c>
      <c r="H31" s="40">
        <f>H30*in_SubShare</f>
        <v/>
      </c>
      <c r="I31" s="40">
        <f>I30*in_SubShare</f>
        <v/>
      </c>
      <c r="J31" s="40">
        <f>J30*in_SubShare</f>
        <v/>
      </c>
      <c r="K31" s="40">
        <f>K30*in_SubShare</f>
        <v/>
      </c>
      <c r="L31" s="40">
        <f>L30*in_SubShare</f>
        <v/>
      </c>
      <c r="M31" s="40">
        <f>M30*in_SubShare</f>
        <v/>
      </c>
      <c r="N31" s="40">
        <f>N30*in_SubShare</f>
        <v/>
      </c>
      <c r="O31" s="40">
        <f>O30*in_SubShare</f>
        <v/>
      </c>
      <c r="P31" s="40">
        <f>P30*in_SubShare</f>
        <v/>
      </c>
      <c r="Q31" s="40">
        <f>Q30*in_SubShare</f>
        <v/>
      </c>
      <c r="R31" s="41">
        <f>SUM(C31:Q31)</f>
        <v/>
      </c>
    </row>
    <row r="32">
      <c r="A32" s="10" t="inlineStr">
        <is>
          <t>Active subscribers, end of month (= subscription orders)</t>
        </is>
      </c>
      <c r="B32" s="6" t="inlineStr">
        <is>
          <t>1 pouch/month each</t>
        </is>
      </c>
      <c r="C32" s="40">
        <f>C31</f>
        <v/>
      </c>
      <c r="D32" s="40">
        <f>C32*(1-in_SubChurn)+D31</f>
        <v/>
      </c>
      <c r="E32" s="40">
        <f>D32*(1-in_SubChurn)+E31</f>
        <v/>
      </c>
      <c r="F32" s="40">
        <f>E32*(1-in_SubChurn)+F31</f>
        <v/>
      </c>
      <c r="G32" s="40">
        <f>F32*(1-in_SubChurn)+G31</f>
        <v/>
      </c>
      <c r="H32" s="40">
        <f>G32*(1-in_SubChurn)+H31</f>
        <v/>
      </c>
      <c r="I32" s="40">
        <f>H32*(1-in_SubChurn)+I31</f>
        <v/>
      </c>
      <c r="J32" s="40">
        <f>I32*(1-in_SubChurn)+J31</f>
        <v/>
      </c>
      <c r="K32" s="40">
        <f>J32*(1-in_SubChurn)+K31</f>
        <v/>
      </c>
      <c r="L32" s="40">
        <f>K32*(1-in_SubChurn)+L31</f>
        <v/>
      </c>
      <c r="M32" s="40">
        <f>L32*(1-in_SubChurn)+M31</f>
        <v/>
      </c>
      <c r="N32" s="40">
        <f>M32*(1-in_SubChurn)+N31</f>
        <v/>
      </c>
      <c r="O32" s="40">
        <f>N32*(1-in_SubChurn)+O31</f>
        <v/>
      </c>
      <c r="P32" s="40">
        <f>O32*(1-in_SubChurn)+P31</f>
        <v/>
      </c>
      <c r="Q32" s="40">
        <f>P32*(1-in_SubChurn)+Q31</f>
        <v/>
      </c>
    </row>
    <row r="33">
      <c r="A33" s="10" t="inlineStr">
        <is>
          <t>One-off first orders</t>
        </is>
      </c>
      <c r="C33" s="40">
        <f>C30*(1-in_SubShare)</f>
        <v/>
      </c>
      <c r="D33" s="40">
        <f>D30*(1-in_SubShare)</f>
        <v/>
      </c>
      <c r="E33" s="40">
        <f>E30*(1-in_SubShare)</f>
        <v/>
      </c>
      <c r="F33" s="40">
        <f>F30*(1-in_SubShare)</f>
        <v/>
      </c>
      <c r="G33" s="40">
        <f>G30*(1-in_SubShare)</f>
        <v/>
      </c>
      <c r="H33" s="40">
        <f>H30*(1-in_SubShare)</f>
        <v/>
      </c>
      <c r="I33" s="40">
        <f>I30*(1-in_SubShare)</f>
        <v/>
      </c>
      <c r="J33" s="40">
        <f>J30*(1-in_SubShare)</f>
        <v/>
      </c>
      <c r="K33" s="40">
        <f>K30*(1-in_SubShare)</f>
        <v/>
      </c>
      <c r="L33" s="40">
        <f>L30*(1-in_SubShare)</f>
        <v/>
      </c>
      <c r="M33" s="40">
        <f>M30*(1-in_SubShare)</f>
        <v/>
      </c>
      <c r="N33" s="40">
        <f>N30*(1-in_SubShare)</f>
        <v/>
      </c>
      <c r="O33" s="40">
        <f>O30*(1-in_SubShare)</f>
        <v/>
      </c>
      <c r="P33" s="40">
        <f>P30*(1-in_SubShare)</f>
        <v/>
      </c>
      <c r="Q33" s="40">
        <f>Q30*(1-in_SubShare)</f>
        <v/>
      </c>
      <c r="R33" s="41">
        <f>SUM(C33:Q33)</f>
        <v/>
      </c>
    </row>
    <row r="34">
      <c r="A34" s="10" t="inlineStr">
        <is>
          <t>One-off repeat orders</t>
        </is>
      </c>
      <c r="C34" s="40">
        <f>0</f>
        <v/>
      </c>
      <c r="D34" s="40">
        <f>C35*in_Repeat</f>
        <v/>
      </c>
      <c r="E34" s="40">
        <f>D35*in_Repeat</f>
        <v/>
      </c>
      <c r="F34" s="40">
        <f>E35*in_Repeat</f>
        <v/>
      </c>
      <c r="G34" s="40">
        <f>F35*in_Repeat</f>
        <v/>
      </c>
      <c r="H34" s="40">
        <f>G35*in_Repeat</f>
        <v/>
      </c>
      <c r="I34" s="40">
        <f>H35*in_Repeat</f>
        <v/>
      </c>
      <c r="J34" s="40">
        <f>I35*in_Repeat</f>
        <v/>
      </c>
      <c r="K34" s="40">
        <f>J35*in_Repeat</f>
        <v/>
      </c>
      <c r="L34" s="40">
        <f>K35*in_Repeat</f>
        <v/>
      </c>
      <c r="M34" s="40">
        <f>L35*in_Repeat</f>
        <v/>
      </c>
      <c r="N34" s="40">
        <f>M35*in_Repeat</f>
        <v/>
      </c>
      <c r="O34" s="40">
        <f>N35*in_Repeat</f>
        <v/>
      </c>
      <c r="P34" s="40">
        <f>O35*in_Repeat</f>
        <v/>
      </c>
      <c r="Q34" s="40">
        <f>P35*in_Repeat</f>
        <v/>
      </c>
      <c r="R34" s="41">
        <f>SUM(C34:Q34)</f>
        <v/>
      </c>
    </row>
    <row r="35">
      <c r="A35" s="26" t="inlineStr">
        <is>
          <t>Total one-off pouch orders</t>
        </is>
      </c>
      <c r="C35" s="42">
        <f>C33+C34</f>
        <v/>
      </c>
      <c r="D35" s="42">
        <f>D33+D34</f>
        <v/>
      </c>
      <c r="E35" s="42">
        <f>E33+E34</f>
        <v/>
      </c>
      <c r="F35" s="42">
        <f>F33+F34</f>
        <v/>
      </c>
      <c r="G35" s="42">
        <f>G33+G34</f>
        <v/>
      </c>
      <c r="H35" s="42">
        <f>H33+H34</f>
        <v/>
      </c>
      <c r="I35" s="42">
        <f>I33+I34</f>
        <v/>
      </c>
      <c r="J35" s="42">
        <f>J33+J34</f>
        <v/>
      </c>
      <c r="K35" s="42">
        <f>K33+K34</f>
        <v/>
      </c>
      <c r="L35" s="42">
        <f>L33+L34</f>
        <v/>
      </c>
      <c r="M35" s="42">
        <f>M33+M34</f>
        <v/>
      </c>
      <c r="N35" s="42">
        <f>N33+N34</f>
        <v/>
      </c>
      <c r="O35" s="42">
        <f>O33+O34</f>
        <v/>
      </c>
      <c r="P35" s="42">
        <f>P33+P34</f>
        <v/>
      </c>
      <c r="Q35" s="42">
        <f>Q33+Q34</f>
        <v/>
      </c>
      <c r="R35" s="41">
        <f>SUM(C35:Q35)</f>
        <v/>
      </c>
    </row>
    <row r="36">
      <c r="A36" s="26" t="inlineStr">
        <is>
          <t>Total DTC pouch orders (one-off + subscription)</t>
        </is>
      </c>
      <c r="C36" s="42">
        <f>C35+C32</f>
        <v/>
      </c>
      <c r="D36" s="42">
        <f>D35+D32</f>
        <v/>
      </c>
      <c r="E36" s="42">
        <f>E35+E32</f>
        <v/>
      </c>
      <c r="F36" s="42">
        <f>F35+F32</f>
        <v/>
      </c>
      <c r="G36" s="42">
        <f>G35+G32</f>
        <v/>
      </c>
      <c r="H36" s="42">
        <f>H35+H32</f>
        <v/>
      </c>
      <c r="I36" s="42">
        <f>I35+I32</f>
        <v/>
      </c>
      <c r="J36" s="42">
        <f>J35+J32</f>
        <v/>
      </c>
      <c r="K36" s="42">
        <f>K35+K32</f>
        <v/>
      </c>
      <c r="L36" s="42">
        <f>L35+L32</f>
        <v/>
      </c>
      <c r="M36" s="42">
        <f>M35+M32</f>
        <v/>
      </c>
      <c r="N36" s="42">
        <f>N35+N32</f>
        <v/>
      </c>
      <c r="O36" s="42">
        <f>O35+O32</f>
        <v/>
      </c>
      <c r="P36" s="42">
        <f>P35+P32</f>
        <v/>
      </c>
      <c r="Q36" s="42">
        <f>Q35+Q32</f>
        <v/>
      </c>
      <c r="R36" s="41">
        <f>SUM(C36:Q36)</f>
        <v/>
      </c>
    </row>
    <row r="37">
      <c r="A37" s="10" t="inlineStr">
        <is>
          <t>DTC stick-box orders</t>
        </is>
      </c>
      <c r="C37" s="40">
        <f>C36*in_StickAttach</f>
        <v/>
      </c>
      <c r="D37" s="40">
        <f>D36*in_StickAttach</f>
        <v/>
      </c>
      <c r="E37" s="40">
        <f>E36*in_StickAttach</f>
        <v/>
      </c>
      <c r="F37" s="40">
        <f>F36*in_StickAttach</f>
        <v/>
      </c>
      <c r="G37" s="40">
        <f>G36*in_StickAttach</f>
        <v/>
      </c>
      <c r="H37" s="40">
        <f>H36*in_StickAttach</f>
        <v/>
      </c>
      <c r="I37" s="40">
        <f>I36*in_StickAttach</f>
        <v/>
      </c>
      <c r="J37" s="40">
        <f>J36*in_StickAttach</f>
        <v/>
      </c>
      <c r="K37" s="40">
        <f>K36*in_StickAttach</f>
        <v/>
      </c>
      <c r="L37" s="40">
        <f>L36*in_StickAttach</f>
        <v/>
      </c>
      <c r="M37" s="40">
        <f>M36*in_StickAttach</f>
        <v/>
      </c>
      <c r="N37" s="40">
        <f>N36*in_StickAttach</f>
        <v/>
      </c>
      <c r="O37" s="40">
        <f>O36*in_StickAttach</f>
        <v/>
      </c>
      <c r="P37" s="40">
        <f>P36*in_StickAttach</f>
        <v/>
      </c>
      <c r="Q37" s="40">
        <f>Q36*in_StickAttach</f>
        <v/>
      </c>
      <c r="R37" s="41">
        <f>SUM(C37:Q37)</f>
        <v/>
      </c>
    </row>
    <row r="39">
      <c r="A39" s="7" t="inlineStr">
        <is>
          <t>Wholesale (direct to stores)</t>
        </is>
      </c>
      <c r="B39" s="8" t="n"/>
      <c r="C39" s="8" t="n"/>
      <c r="D39" s="8" t="n"/>
      <c r="E39" s="8" t="n"/>
      <c r="F39" s="8" t="n"/>
      <c r="G39" s="8" t="n"/>
      <c r="H39" s="8" t="n"/>
      <c r="I39" s="8" t="n"/>
      <c r="J39" s="8" t="n"/>
      <c r="K39" s="8" t="n"/>
      <c r="L39" s="8" t="n"/>
      <c r="M39" s="8" t="n"/>
      <c r="N39" s="8" t="n"/>
      <c r="O39" s="8" t="n"/>
      <c r="P39" s="8" t="n"/>
      <c r="Q39" s="8" t="n"/>
      <c r="R39" s="8" t="n"/>
    </row>
    <row r="40">
      <c r="A40" s="10" t="inlineStr">
        <is>
          <t>New store accounts</t>
        </is>
      </c>
      <c r="C40" s="40">
        <f>IFERROR(INDEX(Inputs!$D$98:$D$107,MATCH(C$23,Inputs!$A$98:$A$107,0)),0)*$B$4*C24</f>
        <v/>
      </c>
      <c r="D40" s="40">
        <f>IFERROR(INDEX(Inputs!$D$98:$D$107,MATCH(D$23,Inputs!$A$98:$A$107,0)),0)*$B$4*D24</f>
        <v/>
      </c>
      <c r="E40" s="40">
        <f>IFERROR(INDEX(Inputs!$D$98:$D$107,MATCH(E$23,Inputs!$A$98:$A$107,0)),0)*$B$4*E24</f>
        <v/>
      </c>
      <c r="F40" s="40">
        <f>IFERROR(INDEX(Inputs!$D$98:$D$107,MATCH(F$23,Inputs!$A$98:$A$107,0)),0)*$B$4*F24</f>
        <v/>
      </c>
      <c r="G40" s="40">
        <f>IFERROR(INDEX(Inputs!$D$98:$D$107,MATCH(G$23,Inputs!$A$98:$A$107,0)),0)*$B$4*G24</f>
        <v/>
      </c>
      <c r="H40" s="40">
        <f>IFERROR(INDEX(Inputs!$D$98:$D$107,MATCH(H$23,Inputs!$A$98:$A$107,0)),0)*$B$4*H24</f>
        <v/>
      </c>
      <c r="I40" s="40">
        <f>IFERROR(INDEX(Inputs!$D$98:$D$107,MATCH(I$23,Inputs!$A$98:$A$107,0)),0)*$B$4*I24</f>
        <v/>
      </c>
      <c r="J40" s="40">
        <f>IFERROR(INDEX(Inputs!$D$98:$D$107,MATCH(J$23,Inputs!$A$98:$A$107,0)),0)*$B$4*J24</f>
        <v/>
      </c>
      <c r="K40" s="40">
        <f>IFERROR(INDEX(Inputs!$D$98:$D$107,MATCH(K$23,Inputs!$A$98:$A$107,0)),0)*$B$4*K24</f>
        <v/>
      </c>
      <c r="L40" s="40">
        <f>IFERROR(INDEX(Inputs!$D$98:$D$107,MATCH(L$23,Inputs!$A$98:$A$107,0)),0)*$B$4*L24</f>
        <v/>
      </c>
      <c r="M40" s="40">
        <f>IFERROR(INDEX(Inputs!$D$98:$D$107,MATCH(M$23,Inputs!$A$98:$A$107,0)),0)*$B$4*M24</f>
        <v/>
      </c>
      <c r="N40" s="40">
        <f>IFERROR(INDEX(Inputs!$D$98:$D$107,MATCH(N$23,Inputs!$A$98:$A$107,0)),0)*$B$4*N24</f>
        <v/>
      </c>
      <c r="O40" s="40">
        <f>IFERROR(INDEX(Inputs!$D$98:$D$107,MATCH(O$23,Inputs!$A$98:$A$107,0)),0)*$B$4*O24</f>
        <v/>
      </c>
      <c r="P40" s="40">
        <f>IFERROR(INDEX(Inputs!$D$98:$D$107,MATCH(P$23,Inputs!$A$98:$A$107,0)),0)*$B$4*P24</f>
        <v/>
      </c>
      <c r="Q40" s="40">
        <f>IFERROR(INDEX(Inputs!$D$98:$D$107,MATCH(Q$23,Inputs!$A$98:$A$107,0)),0)*$B$4*Q24</f>
        <v/>
      </c>
      <c r="R40" s="41">
        <f>SUM(C40:Q40)</f>
        <v/>
      </c>
    </row>
    <row r="41">
      <c r="A41" s="10" t="inlineStr">
        <is>
          <t>Active store accounts, end of month</t>
        </is>
      </c>
      <c r="C41" s="40">
        <f>C40</f>
        <v/>
      </c>
      <c r="D41" s="40">
        <f>C41*(1-in_StoreChurn)+D40</f>
        <v/>
      </c>
      <c r="E41" s="40">
        <f>D41*(1-in_StoreChurn)+E40</f>
        <v/>
      </c>
      <c r="F41" s="40">
        <f>E41*(1-in_StoreChurn)+F40</f>
        <v/>
      </c>
      <c r="G41" s="40">
        <f>F41*(1-in_StoreChurn)+G40</f>
        <v/>
      </c>
      <c r="H41" s="40">
        <f>G41*(1-in_StoreChurn)+H40</f>
        <v/>
      </c>
      <c r="I41" s="40">
        <f>H41*(1-in_StoreChurn)+I40</f>
        <v/>
      </c>
      <c r="J41" s="40">
        <f>I41*(1-in_StoreChurn)+J40</f>
        <v/>
      </c>
      <c r="K41" s="40">
        <f>J41*(1-in_StoreChurn)+K40</f>
        <v/>
      </c>
      <c r="L41" s="40">
        <f>K41*(1-in_StoreChurn)+L40</f>
        <v/>
      </c>
      <c r="M41" s="40">
        <f>L41*(1-in_StoreChurn)+M40</f>
        <v/>
      </c>
      <c r="N41" s="40">
        <f>M41*(1-in_StoreChurn)+N40</f>
        <v/>
      </c>
      <c r="O41" s="40">
        <f>N41*(1-in_StoreChurn)+O40</f>
        <v/>
      </c>
      <c r="P41" s="40">
        <f>O41*(1-in_StoreChurn)+P40</f>
        <v/>
      </c>
      <c r="Q41" s="40">
        <f>P41*(1-in_StoreChurn)+Q40</f>
        <v/>
      </c>
    </row>
    <row r="42">
      <c r="A42" s="10" t="inlineStr">
        <is>
          <t>Wholesale pouches shipped</t>
        </is>
      </c>
      <c r="C42" s="40">
        <f>C41*in_PouchPerStore</f>
        <v/>
      </c>
      <c r="D42" s="40">
        <f>D41*in_PouchPerStore</f>
        <v/>
      </c>
      <c r="E42" s="40">
        <f>E41*in_PouchPerStore</f>
        <v/>
      </c>
      <c r="F42" s="40">
        <f>F41*in_PouchPerStore</f>
        <v/>
      </c>
      <c r="G42" s="40">
        <f>G41*in_PouchPerStore</f>
        <v/>
      </c>
      <c r="H42" s="40">
        <f>H41*in_PouchPerStore</f>
        <v/>
      </c>
      <c r="I42" s="40">
        <f>I41*in_PouchPerStore</f>
        <v/>
      </c>
      <c r="J42" s="40">
        <f>J41*in_PouchPerStore</f>
        <v/>
      </c>
      <c r="K42" s="40">
        <f>K41*in_PouchPerStore</f>
        <v/>
      </c>
      <c r="L42" s="40">
        <f>L41*in_PouchPerStore</f>
        <v/>
      </c>
      <c r="M42" s="40">
        <f>M41*in_PouchPerStore</f>
        <v/>
      </c>
      <c r="N42" s="40">
        <f>N41*in_PouchPerStore</f>
        <v/>
      </c>
      <c r="O42" s="40">
        <f>O41*in_PouchPerStore</f>
        <v/>
      </c>
      <c r="P42" s="40">
        <f>P41*in_PouchPerStore</f>
        <v/>
      </c>
      <c r="Q42" s="40">
        <f>Q41*in_PouchPerStore</f>
        <v/>
      </c>
      <c r="R42" s="41">
        <f>SUM(C42:Q42)</f>
        <v/>
      </c>
    </row>
    <row r="43">
      <c r="A43" s="10" t="inlineStr">
        <is>
          <t>Wholesale sticks shipped</t>
        </is>
      </c>
      <c r="C43" s="40">
        <f>C41*in_StickPerStore</f>
        <v/>
      </c>
      <c r="D43" s="40">
        <f>D41*in_StickPerStore</f>
        <v/>
      </c>
      <c r="E43" s="40">
        <f>E41*in_StickPerStore</f>
        <v/>
      </c>
      <c r="F43" s="40">
        <f>F41*in_StickPerStore</f>
        <v/>
      </c>
      <c r="G43" s="40">
        <f>G41*in_StickPerStore</f>
        <v/>
      </c>
      <c r="H43" s="40">
        <f>H41*in_StickPerStore</f>
        <v/>
      </c>
      <c r="I43" s="40">
        <f>I41*in_StickPerStore</f>
        <v/>
      </c>
      <c r="J43" s="40">
        <f>J41*in_StickPerStore</f>
        <v/>
      </c>
      <c r="K43" s="40">
        <f>K41*in_StickPerStore</f>
        <v/>
      </c>
      <c r="L43" s="40">
        <f>L41*in_StickPerStore</f>
        <v/>
      </c>
      <c r="M43" s="40">
        <f>M41*in_StickPerStore</f>
        <v/>
      </c>
      <c r="N43" s="40">
        <f>N41*in_StickPerStore</f>
        <v/>
      </c>
      <c r="O43" s="40">
        <f>O41*in_StickPerStore</f>
        <v/>
      </c>
      <c r="P43" s="40">
        <f>P41*in_StickPerStore</f>
        <v/>
      </c>
      <c r="Q43" s="40">
        <f>Q41*in_StickPerStore</f>
        <v/>
      </c>
      <c r="R43" s="41">
        <f>SUM(C43:Q43)</f>
        <v/>
      </c>
    </row>
    <row r="45">
      <c r="A45" s="7" t="inlineStr">
        <is>
          <t>Pouch inventory (units)</t>
        </is>
      </c>
      <c r="B45" s="8" t="n"/>
      <c r="C45" s="8" t="n"/>
      <c r="D45" s="8" t="n"/>
      <c r="E45" s="8" t="n"/>
      <c r="F45" s="8" t="n"/>
      <c r="G45" s="8" t="n"/>
      <c r="H45" s="8" t="n"/>
      <c r="I45" s="8" t="n"/>
      <c r="J45" s="8" t="n"/>
      <c r="K45" s="8" t="n"/>
      <c r="L45" s="8" t="n"/>
      <c r="M45" s="8" t="n"/>
      <c r="N45" s="8" t="n"/>
      <c r="O45" s="8" t="n"/>
      <c r="P45" s="8" t="n"/>
      <c r="Q45" s="8" t="n"/>
      <c r="R45" s="8" t="n"/>
    </row>
    <row r="46">
      <c r="A46" s="10" t="inlineStr">
        <is>
          <t>Pouch demand</t>
        </is>
      </c>
      <c r="C46" s="43">
        <f>C36*in_PouchPerOrder+C42</f>
        <v/>
      </c>
      <c r="D46" s="43">
        <f>D36*in_PouchPerOrder+D42</f>
        <v/>
      </c>
      <c r="E46" s="43">
        <f>E36*in_PouchPerOrder+E42</f>
        <v/>
      </c>
      <c r="F46" s="43">
        <f>F36*in_PouchPerOrder+F42</f>
        <v/>
      </c>
      <c r="G46" s="43">
        <f>G36*in_PouchPerOrder+G42</f>
        <v/>
      </c>
      <c r="H46" s="43">
        <f>H36*in_PouchPerOrder+H42</f>
        <v/>
      </c>
      <c r="I46" s="43">
        <f>I36*in_PouchPerOrder+I42</f>
        <v/>
      </c>
      <c r="J46" s="43">
        <f>J36*in_PouchPerOrder+J42</f>
        <v/>
      </c>
      <c r="K46" s="43">
        <f>K36*in_PouchPerOrder+K42</f>
        <v/>
      </c>
      <c r="L46" s="43">
        <f>L36*in_PouchPerOrder+L42</f>
        <v/>
      </c>
      <c r="M46" s="43">
        <f>M36*in_PouchPerOrder+M42</f>
        <v/>
      </c>
      <c r="N46" s="43">
        <f>N36*in_PouchPerOrder+N42</f>
        <v/>
      </c>
      <c r="O46" s="43">
        <f>O36*in_PouchPerOrder+O42</f>
        <v/>
      </c>
      <c r="P46" s="43">
        <f>P36*in_PouchPerOrder+P42</f>
        <v/>
      </c>
      <c r="Q46" s="43">
        <f>Q36*in_PouchPerOrder+Q42</f>
        <v/>
      </c>
      <c r="R46" s="44">
        <f>SUM(C46:Q46)</f>
        <v/>
      </c>
    </row>
    <row r="47">
      <c r="A47" s="10" t="inlineStr">
        <is>
          <t>Opening stock</t>
        </is>
      </c>
      <c r="C47" s="43">
        <f>0</f>
        <v/>
      </c>
      <c r="D47" s="43">
        <f>C55</f>
        <v/>
      </c>
      <c r="E47" s="43">
        <f>D55</f>
        <v/>
      </c>
      <c r="F47" s="43">
        <f>E55</f>
        <v/>
      </c>
      <c r="G47" s="43">
        <f>F55</f>
        <v/>
      </c>
      <c r="H47" s="43">
        <f>G55</f>
        <v/>
      </c>
      <c r="I47" s="43">
        <f>H55</f>
        <v/>
      </c>
      <c r="J47" s="43">
        <f>I55</f>
        <v/>
      </c>
      <c r="K47" s="43">
        <f>J55</f>
        <v/>
      </c>
      <c r="L47" s="43">
        <f>K55</f>
        <v/>
      </c>
      <c r="M47" s="43">
        <f>L55</f>
        <v/>
      </c>
      <c r="N47" s="43">
        <f>M55</f>
        <v/>
      </c>
      <c r="O47" s="43">
        <f>N55</f>
        <v/>
      </c>
      <c r="P47" s="43">
        <f>O55</f>
        <v/>
      </c>
      <c r="Q47" s="43">
        <f>P55</f>
        <v/>
      </c>
    </row>
    <row r="48">
      <c r="A48" s="10" t="inlineStr">
        <is>
          <t>First run received</t>
        </is>
      </c>
      <c r="C48" s="43">
        <f>IF(EOMONTH(in_FirstShip,0)=EOMONTH(C$23,0),$B$8,0)</f>
        <v/>
      </c>
      <c r="D48" s="43">
        <f>IF(EOMONTH(in_FirstShip,0)=EOMONTH(D$23,0),$B$8,0)</f>
        <v/>
      </c>
      <c r="E48" s="43">
        <f>IF(EOMONTH(in_FirstShip,0)=EOMONTH(E$23,0),$B$8,0)</f>
        <v/>
      </c>
      <c r="F48" s="43">
        <f>IF(EOMONTH(in_FirstShip,0)=EOMONTH(F$23,0),$B$8,0)</f>
        <v/>
      </c>
      <c r="G48" s="43">
        <f>IF(EOMONTH(in_FirstShip,0)=EOMONTH(G$23,0),$B$8,0)</f>
        <v/>
      </c>
      <c r="H48" s="43">
        <f>IF(EOMONTH(in_FirstShip,0)=EOMONTH(H$23,0),$B$8,0)</f>
        <v/>
      </c>
      <c r="I48" s="43">
        <f>IF(EOMONTH(in_FirstShip,0)=EOMONTH(I$23,0),$B$8,0)</f>
        <v/>
      </c>
      <c r="J48" s="43">
        <f>IF(EOMONTH(in_FirstShip,0)=EOMONTH(J$23,0),$B$8,0)</f>
        <v/>
      </c>
      <c r="K48" s="43">
        <f>IF(EOMONTH(in_FirstShip,0)=EOMONTH(K$23,0),$B$8,0)</f>
        <v/>
      </c>
      <c r="L48" s="43">
        <f>IF(EOMONTH(in_FirstShip,0)=EOMONTH(L$23,0),$B$8,0)</f>
        <v/>
      </c>
      <c r="M48" s="43">
        <f>IF(EOMONTH(in_FirstShip,0)=EOMONTH(M$23,0),$B$8,0)</f>
        <v/>
      </c>
      <c r="N48" s="43">
        <f>IF(EOMONTH(in_FirstShip,0)=EOMONTH(N$23,0),$B$8,0)</f>
        <v/>
      </c>
      <c r="O48" s="43">
        <f>IF(EOMONTH(in_FirstShip,0)=EOMONTH(O$23,0),$B$8,0)</f>
        <v/>
      </c>
      <c r="P48" s="43">
        <f>IF(EOMONTH(in_FirstShip,0)=EOMONTH(P$23,0),$B$8,0)</f>
        <v/>
      </c>
      <c r="Q48" s="43">
        <f>IF(EOMONTH(in_FirstShip,0)=EOMONTH(Q$23,0),$B$8,0)</f>
        <v/>
      </c>
      <c r="R48" s="44">
        <f>SUM(C48:Q48)</f>
        <v/>
      </c>
    </row>
    <row r="49">
      <c r="A49" s="10" t="inlineStr">
        <is>
          <t>Second flavour first run received</t>
        </is>
      </c>
      <c r="C49" s="43">
        <f>IF(AND(in_Flavor2On=1,EOMONTH(in_Flavor2Run,0)=EOMONTH(C$23,0)),$B$8,0)</f>
        <v/>
      </c>
      <c r="D49" s="43">
        <f>IF(AND(in_Flavor2On=1,EOMONTH(in_Flavor2Run,0)=EOMONTH(D$23,0)),$B$8,0)</f>
        <v/>
      </c>
      <c r="E49" s="43">
        <f>IF(AND(in_Flavor2On=1,EOMONTH(in_Flavor2Run,0)=EOMONTH(E$23,0)),$B$8,0)</f>
        <v/>
      </c>
      <c r="F49" s="43">
        <f>IF(AND(in_Flavor2On=1,EOMONTH(in_Flavor2Run,0)=EOMONTH(F$23,0)),$B$8,0)</f>
        <v/>
      </c>
      <c r="G49" s="43">
        <f>IF(AND(in_Flavor2On=1,EOMONTH(in_Flavor2Run,0)=EOMONTH(G$23,0)),$B$8,0)</f>
        <v/>
      </c>
      <c r="H49" s="43">
        <f>IF(AND(in_Flavor2On=1,EOMONTH(in_Flavor2Run,0)=EOMONTH(H$23,0)),$B$8,0)</f>
        <v/>
      </c>
      <c r="I49" s="43">
        <f>IF(AND(in_Flavor2On=1,EOMONTH(in_Flavor2Run,0)=EOMONTH(I$23,0)),$B$8,0)</f>
        <v/>
      </c>
      <c r="J49" s="43">
        <f>IF(AND(in_Flavor2On=1,EOMONTH(in_Flavor2Run,0)=EOMONTH(J$23,0)),$B$8,0)</f>
        <v/>
      </c>
      <c r="K49" s="43">
        <f>IF(AND(in_Flavor2On=1,EOMONTH(in_Flavor2Run,0)=EOMONTH(K$23,0)),$B$8,0)</f>
        <v/>
      </c>
      <c r="L49" s="43">
        <f>IF(AND(in_Flavor2On=1,EOMONTH(in_Flavor2Run,0)=EOMONTH(L$23,0)),$B$8,0)</f>
        <v/>
      </c>
      <c r="M49" s="43">
        <f>IF(AND(in_Flavor2On=1,EOMONTH(in_Flavor2Run,0)=EOMONTH(M$23,0)),$B$8,0)</f>
        <v/>
      </c>
      <c r="N49" s="43">
        <f>IF(AND(in_Flavor2On=1,EOMONTH(in_Flavor2Run,0)=EOMONTH(N$23,0)),$B$8,0)</f>
        <v/>
      </c>
      <c r="O49" s="43">
        <f>IF(AND(in_Flavor2On=1,EOMONTH(in_Flavor2Run,0)=EOMONTH(O$23,0)),$B$8,0)</f>
        <v/>
      </c>
      <c r="P49" s="43">
        <f>IF(AND(in_Flavor2On=1,EOMONTH(in_Flavor2Run,0)=EOMONTH(P$23,0)),$B$8,0)</f>
        <v/>
      </c>
      <c r="Q49" s="43">
        <f>IF(AND(in_Flavor2On=1,EOMONTH(in_Flavor2Run,0)=EOMONTH(Q$23,0)),$B$8,0)</f>
        <v/>
      </c>
      <c r="R49" s="44">
        <f>SUM(C49:Q49)</f>
        <v/>
      </c>
    </row>
    <row r="50">
      <c r="A50" s="10" t="inlineStr">
        <is>
          <t>Reorders received (placed lead-time months earlier)</t>
        </is>
      </c>
      <c r="B50" s="6" t="inlineStr">
        <is>
          <t>Lead-time input</t>
        </is>
      </c>
      <c r="C50" s="43">
        <f>IF(in_Lead=1,0,IF(in_Lead=2,0,IF(in_Lead=3,0,0)))</f>
        <v/>
      </c>
      <c r="D50" s="43">
        <f>IF(in_Lead=1,C52,IF(in_Lead=2,0,IF(in_Lead=3,0,0)))</f>
        <v/>
      </c>
      <c r="E50" s="43">
        <f>IF(in_Lead=1,D52,IF(in_Lead=2,C52,IF(in_Lead=3,0,0)))</f>
        <v/>
      </c>
      <c r="F50" s="43">
        <f>IF(in_Lead=1,E52,IF(in_Lead=2,D52,IF(in_Lead=3,C52,0)))</f>
        <v/>
      </c>
      <c r="G50" s="43">
        <f>IF(in_Lead=1,F52,IF(in_Lead=2,E52,IF(in_Lead=3,D52,0)))</f>
        <v/>
      </c>
      <c r="H50" s="43">
        <f>IF(in_Lead=1,G52,IF(in_Lead=2,F52,IF(in_Lead=3,E52,0)))</f>
        <v/>
      </c>
      <c r="I50" s="43">
        <f>IF(in_Lead=1,H52,IF(in_Lead=2,G52,IF(in_Lead=3,F52,0)))</f>
        <v/>
      </c>
      <c r="J50" s="43">
        <f>IF(in_Lead=1,I52,IF(in_Lead=2,H52,IF(in_Lead=3,G52,0)))</f>
        <v/>
      </c>
      <c r="K50" s="43">
        <f>IF(in_Lead=1,J52,IF(in_Lead=2,I52,IF(in_Lead=3,H52,0)))</f>
        <v/>
      </c>
      <c r="L50" s="43">
        <f>IF(in_Lead=1,K52,IF(in_Lead=2,J52,IF(in_Lead=3,I52,0)))</f>
        <v/>
      </c>
      <c r="M50" s="43">
        <f>IF(in_Lead=1,L52,IF(in_Lead=2,K52,IF(in_Lead=3,J52,0)))</f>
        <v/>
      </c>
      <c r="N50" s="43">
        <f>IF(in_Lead=1,M52,IF(in_Lead=2,L52,IF(in_Lead=3,K52,0)))</f>
        <v/>
      </c>
      <c r="O50" s="43">
        <f>IF(in_Lead=1,N52,IF(in_Lead=2,M52,IF(in_Lead=3,L52,0)))</f>
        <v/>
      </c>
      <c r="P50" s="43">
        <f>IF(in_Lead=1,O52,IF(in_Lead=2,N52,IF(in_Lead=3,M52,0)))</f>
        <v/>
      </c>
      <c r="Q50" s="43">
        <f>IF(in_Lead=1,P52,IF(in_Lead=2,O52,IF(in_Lead=3,N52,0)))</f>
        <v/>
      </c>
      <c r="R50" s="44">
        <f>SUM(C50:Q50)</f>
        <v/>
      </c>
    </row>
    <row r="51">
      <c r="A51" s="10" t="inlineStr">
        <is>
          <t>On order, still in transit after this month</t>
        </is>
      </c>
      <c r="C51" s="43">
        <f>IF(in_Lead&gt;=2,0,0)+IF(in_Lead&gt;=3,0,0)</f>
        <v/>
      </c>
      <c r="D51" s="43">
        <f>IF(in_Lead&gt;=2,C52,0)+IF(in_Lead&gt;=3,0,0)</f>
        <v/>
      </c>
      <c r="E51" s="43">
        <f>IF(in_Lead&gt;=2,D52,0)+IF(in_Lead&gt;=3,C52,0)</f>
        <v/>
      </c>
      <c r="F51" s="43">
        <f>IF(in_Lead&gt;=2,E52,0)+IF(in_Lead&gt;=3,D52,0)</f>
        <v/>
      </c>
      <c r="G51" s="43">
        <f>IF(in_Lead&gt;=2,F52,0)+IF(in_Lead&gt;=3,E52,0)</f>
        <v/>
      </c>
      <c r="H51" s="43">
        <f>IF(in_Lead&gt;=2,G52,0)+IF(in_Lead&gt;=3,F52,0)</f>
        <v/>
      </c>
      <c r="I51" s="43">
        <f>IF(in_Lead&gt;=2,H52,0)+IF(in_Lead&gt;=3,G52,0)</f>
        <v/>
      </c>
      <c r="J51" s="43">
        <f>IF(in_Lead&gt;=2,I52,0)+IF(in_Lead&gt;=3,H52,0)</f>
        <v/>
      </c>
      <c r="K51" s="43">
        <f>IF(in_Lead&gt;=2,J52,0)+IF(in_Lead&gt;=3,I52,0)</f>
        <v/>
      </c>
      <c r="L51" s="43">
        <f>IF(in_Lead&gt;=2,K52,0)+IF(in_Lead&gt;=3,J52,0)</f>
        <v/>
      </c>
      <c r="M51" s="43">
        <f>IF(in_Lead&gt;=2,L52,0)+IF(in_Lead&gt;=3,K52,0)</f>
        <v/>
      </c>
      <c r="N51" s="43">
        <f>IF(in_Lead&gt;=2,M52,0)+IF(in_Lead&gt;=3,L52,0)</f>
        <v/>
      </c>
      <c r="O51" s="43">
        <f>IF(in_Lead&gt;=2,N52,0)+IF(in_Lead&gt;=3,M52,0)</f>
        <v/>
      </c>
      <c r="P51" s="43">
        <f>IF(in_Lead&gt;=2,O52,0)+IF(in_Lead&gt;=3,N52,0)</f>
        <v/>
      </c>
      <c r="Q51" s="43">
        <f>IF(in_Lead&gt;=2,P52,0)+IF(in_Lead&gt;=3,O52,0)</f>
        <v/>
      </c>
    </row>
    <row r="52">
      <c r="A52" s="10" t="inlineStr">
        <is>
          <t>Reorder placed and paid (stock + on order below reorder point)</t>
        </is>
      </c>
      <c r="B52" s="6" t="inlineStr">
        <is>
          <t>Paid when placed</t>
        </is>
      </c>
      <c r="C52" s="43">
        <f>IF(C24=1,IF(C47+C48+C49+C50+C51&lt;C46*in_Cover,ROUNDUP((C46*in_Cover-(C47+C48+C49+C50+C51))/$B$8,0)*$B$8,0),0)</f>
        <v/>
      </c>
      <c r="D52" s="43">
        <f>IF(D24=1,IF(D47+D48+D49+D50+D51&lt;D46*in_Cover,ROUNDUP((D46*in_Cover-(D47+D48+D49+D50+D51))/$B$8,0)*$B$8,0),0)</f>
        <v/>
      </c>
      <c r="E52" s="43">
        <f>IF(E24=1,IF(E47+E48+E49+E50+E51&lt;E46*in_Cover,ROUNDUP((E46*in_Cover-(E47+E48+E49+E50+E51))/$B$8,0)*$B$8,0),0)</f>
        <v/>
      </c>
      <c r="F52" s="43">
        <f>IF(F24=1,IF(F47+F48+F49+F50+F51&lt;F46*in_Cover,ROUNDUP((F46*in_Cover-(F47+F48+F49+F50+F51))/$B$8,0)*$B$8,0),0)</f>
        <v/>
      </c>
      <c r="G52" s="43">
        <f>IF(G24=1,IF(G47+G48+G49+G50+G51&lt;G46*in_Cover,ROUNDUP((G46*in_Cover-(G47+G48+G49+G50+G51))/$B$8,0)*$B$8,0),0)</f>
        <v/>
      </c>
      <c r="H52" s="43">
        <f>IF(H24=1,IF(H47+H48+H49+H50+H51&lt;H46*in_Cover,ROUNDUP((H46*in_Cover-(H47+H48+H49+H50+H51))/$B$8,0)*$B$8,0),0)</f>
        <v/>
      </c>
      <c r="I52" s="43">
        <f>IF(I24=1,IF(I47+I48+I49+I50+I51&lt;I46*in_Cover,ROUNDUP((I46*in_Cover-(I47+I48+I49+I50+I51))/$B$8,0)*$B$8,0),0)</f>
        <v/>
      </c>
      <c r="J52" s="43">
        <f>IF(J24=1,IF(J47+J48+J49+J50+J51&lt;J46*in_Cover,ROUNDUP((J46*in_Cover-(J47+J48+J49+J50+J51))/$B$8,0)*$B$8,0),0)</f>
        <v/>
      </c>
      <c r="K52" s="43">
        <f>IF(K24=1,IF(K47+K48+K49+K50+K51&lt;K46*in_Cover,ROUNDUP((K46*in_Cover-(K47+K48+K49+K50+K51))/$B$8,0)*$B$8,0),0)</f>
        <v/>
      </c>
      <c r="L52" s="43">
        <f>IF(L24=1,IF(L47+L48+L49+L50+L51&lt;L46*in_Cover,ROUNDUP((L46*in_Cover-(L47+L48+L49+L50+L51))/$B$8,0)*$B$8,0),0)</f>
        <v/>
      </c>
      <c r="M52" s="43">
        <f>IF(M24=1,IF(M47+M48+M49+M50+M51&lt;M46*in_Cover,ROUNDUP((M46*in_Cover-(M47+M48+M49+M50+M51))/$B$8,0)*$B$8,0),0)</f>
        <v/>
      </c>
      <c r="N52" s="43">
        <f>IF(N24=1,IF(N47+N48+N49+N50+N51&lt;N46*in_Cover,ROUNDUP((N46*in_Cover-(N47+N48+N49+N50+N51))/$B$8,0)*$B$8,0),0)</f>
        <v/>
      </c>
      <c r="O52" s="43">
        <f>IF(O24=1,IF(O47+O48+O49+O50+O51&lt;O46*in_Cover,ROUNDUP((O46*in_Cover-(O47+O48+O49+O50+O51))/$B$8,0)*$B$8,0),0)</f>
        <v/>
      </c>
      <c r="P52" s="43">
        <f>IF(P24=1,IF(P47+P48+P49+P50+P51&lt;P46*in_Cover,ROUNDUP((P46*in_Cover-(P47+P48+P49+P50+P51))/$B$8,0)*$B$8,0),0)</f>
        <v/>
      </c>
      <c r="Q52" s="43">
        <f>IF(Q24=1,IF(Q47+Q48+Q49+Q50+Q51&lt;Q46*in_Cover,ROUNDUP((Q46*in_Cover-(Q47+Q48+Q49+Q50+Q51))/$B$8,0)*$B$8,0),0)</f>
        <v/>
      </c>
      <c r="R52" s="44">
        <f>SUM(C52:Q52)</f>
        <v/>
      </c>
    </row>
    <row r="53">
      <c r="A53" s="10" t="inlineStr">
        <is>
          <t>Pouches sold</t>
        </is>
      </c>
      <c r="C53" s="43">
        <f>MIN(C46,C47+C48+C49+C50)</f>
        <v/>
      </c>
      <c r="D53" s="43">
        <f>MIN(D46,D47+D48+D49+D50)</f>
        <v/>
      </c>
      <c r="E53" s="43">
        <f>MIN(E46,E47+E48+E49+E50)</f>
        <v/>
      </c>
      <c r="F53" s="43">
        <f>MIN(F46,F47+F48+F49+F50)</f>
        <v/>
      </c>
      <c r="G53" s="43">
        <f>MIN(G46,G47+G48+G49+G50)</f>
        <v/>
      </c>
      <c r="H53" s="43">
        <f>MIN(H46,H47+H48+H49+H50)</f>
        <v/>
      </c>
      <c r="I53" s="43">
        <f>MIN(I46,I47+I48+I49+I50)</f>
        <v/>
      </c>
      <c r="J53" s="43">
        <f>MIN(J46,J47+J48+J49+J50)</f>
        <v/>
      </c>
      <c r="K53" s="43">
        <f>MIN(K46,K47+K48+K49+K50)</f>
        <v/>
      </c>
      <c r="L53" s="43">
        <f>MIN(L46,L47+L48+L49+L50)</f>
        <v/>
      </c>
      <c r="M53" s="43">
        <f>MIN(M46,M47+M48+M49+M50)</f>
        <v/>
      </c>
      <c r="N53" s="43">
        <f>MIN(N46,N47+N48+N49+N50)</f>
        <v/>
      </c>
      <c r="O53" s="43">
        <f>MIN(O46,O47+O48+O49+O50)</f>
        <v/>
      </c>
      <c r="P53" s="43">
        <f>MIN(P46,P47+P48+P49+P50)</f>
        <v/>
      </c>
      <c r="Q53" s="43">
        <f>MIN(Q46,Q47+Q48+Q49+Q50)</f>
        <v/>
      </c>
      <c r="R53" s="44">
        <f>SUM(C53:Q53)</f>
        <v/>
      </c>
    </row>
    <row r="54">
      <c r="A54" s="10" t="inlineStr">
        <is>
          <t>Pouch shortfall (check: should be 0)</t>
        </is>
      </c>
      <c r="B54" s="6" t="inlineStr">
        <is>
          <t>Must stay 0</t>
        </is>
      </c>
      <c r="C54" s="43">
        <f>C46-C53</f>
        <v/>
      </c>
      <c r="D54" s="43">
        <f>D46-D53</f>
        <v/>
      </c>
      <c r="E54" s="43">
        <f>E46-E53</f>
        <v/>
      </c>
      <c r="F54" s="43">
        <f>F46-F53</f>
        <v/>
      </c>
      <c r="G54" s="43">
        <f>G46-G53</f>
        <v/>
      </c>
      <c r="H54" s="43">
        <f>H46-H53</f>
        <v/>
      </c>
      <c r="I54" s="43">
        <f>I46-I53</f>
        <v/>
      </c>
      <c r="J54" s="43">
        <f>J46-J53</f>
        <v/>
      </c>
      <c r="K54" s="43">
        <f>K46-K53</f>
        <v/>
      </c>
      <c r="L54" s="43">
        <f>L46-L53</f>
        <v/>
      </c>
      <c r="M54" s="43">
        <f>M46-M53</f>
        <v/>
      </c>
      <c r="N54" s="43">
        <f>N46-N53</f>
        <v/>
      </c>
      <c r="O54" s="43">
        <f>O46-O53</f>
        <v/>
      </c>
      <c r="P54" s="43">
        <f>P46-P53</f>
        <v/>
      </c>
      <c r="Q54" s="43">
        <f>Q46-Q53</f>
        <v/>
      </c>
      <c r="R54" s="44">
        <f>SUM(C54:Q54)</f>
        <v/>
      </c>
    </row>
    <row r="55">
      <c r="A55" s="10" t="inlineStr">
        <is>
          <t>Closing stock</t>
        </is>
      </c>
      <c r="C55" s="43">
        <f>C47+C48+C49+C50-C53</f>
        <v/>
      </c>
      <c r="D55" s="43">
        <f>D47+D48+D49+D50-D53</f>
        <v/>
      </c>
      <c r="E55" s="43">
        <f>E47+E48+E49+E50-E53</f>
        <v/>
      </c>
      <c r="F55" s="43">
        <f>F47+F48+F49+F50-F53</f>
        <v/>
      </c>
      <c r="G55" s="43">
        <f>G47+G48+G49+G50-G53</f>
        <v/>
      </c>
      <c r="H55" s="43">
        <f>H47+H48+H49+H50-H53</f>
        <v/>
      </c>
      <c r="I55" s="43">
        <f>I47+I48+I49+I50-I53</f>
        <v/>
      </c>
      <c r="J55" s="43">
        <f>J47+J48+J49+J50-J53</f>
        <v/>
      </c>
      <c r="K55" s="43">
        <f>K47+K48+K49+K50-K53</f>
        <v/>
      </c>
      <c r="L55" s="43">
        <f>L47+L48+L49+L50-L53</f>
        <v/>
      </c>
      <c r="M55" s="43">
        <f>M47+M48+M49+M50-M53</f>
        <v/>
      </c>
      <c r="N55" s="43">
        <f>N47+N48+N49+N50-N53</f>
        <v/>
      </c>
      <c r="O55" s="43">
        <f>O47+O48+O49+O50-O53</f>
        <v/>
      </c>
      <c r="P55" s="43">
        <f>P47+P48+P49+P50-P53</f>
        <v/>
      </c>
      <c r="Q55" s="43">
        <f>Q47+Q48+Q49+Q50-Q53</f>
        <v/>
      </c>
    </row>
    <row r="57">
      <c r="A57" s="7" t="inlineStr">
        <is>
          <t>Protein stick inventory (units)</t>
        </is>
      </c>
      <c r="B57" s="8" t="n"/>
      <c r="C57" s="8" t="n"/>
      <c r="D57" s="8" t="n"/>
      <c r="E57" s="8" t="n"/>
      <c r="F57" s="8" t="n"/>
      <c r="G57" s="8" t="n"/>
      <c r="H57" s="8" t="n"/>
      <c r="I57" s="8" t="n"/>
      <c r="J57" s="8" t="n"/>
      <c r="K57" s="8" t="n"/>
      <c r="L57" s="8" t="n"/>
      <c r="M57" s="8" t="n"/>
      <c r="N57" s="8" t="n"/>
      <c r="O57" s="8" t="n"/>
      <c r="P57" s="8" t="n"/>
      <c r="Q57" s="8" t="n"/>
      <c r="R57" s="8" t="n"/>
    </row>
    <row r="58">
      <c r="A58" s="10" t="inlineStr">
        <is>
          <t>Stick demand</t>
        </is>
      </c>
      <c r="C58" s="43">
        <f>C37*in_SticksPerBox+C43</f>
        <v/>
      </c>
      <c r="D58" s="43">
        <f>D37*in_SticksPerBox+D43</f>
        <v/>
      </c>
      <c r="E58" s="43">
        <f>E37*in_SticksPerBox+E43</f>
        <v/>
      </c>
      <c r="F58" s="43">
        <f>F37*in_SticksPerBox+F43</f>
        <v/>
      </c>
      <c r="G58" s="43">
        <f>G37*in_SticksPerBox+G43</f>
        <v/>
      </c>
      <c r="H58" s="43">
        <f>H37*in_SticksPerBox+H43</f>
        <v/>
      </c>
      <c r="I58" s="43">
        <f>I37*in_SticksPerBox+I43</f>
        <v/>
      </c>
      <c r="J58" s="43">
        <f>J37*in_SticksPerBox+J43</f>
        <v/>
      </c>
      <c r="K58" s="43">
        <f>K37*in_SticksPerBox+K43</f>
        <v/>
      </c>
      <c r="L58" s="43">
        <f>L37*in_SticksPerBox+L43</f>
        <v/>
      </c>
      <c r="M58" s="43">
        <f>M37*in_SticksPerBox+M43</f>
        <v/>
      </c>
      <c r="N58" s="43">
        <f>N37*in_SticksPerBox+N43</f>
        <v/>
      </c>
      <c r="O58" s="43">
        <f>O37*in_SticksPerBox+O43</f>
        <v/>
      </c>
      <c r="P58" s="43">
        <f>P37*in_SticksPerBox+P43</f>
        <v/>
      </c>
      <c r="Q58" s="43">
        <f>Q37*in_SticksPerBox+Q43</f>
        <v/>
      </c>
      <c r="R58" s="44">
        <f>SUM(C58:Q58)</f>
        <v/>
      </c>
    </row>
    <row r="59">
      <c r="A59" s="10" t="inlineStr">
        <is>
          <t>Opening stock</t>
        </is>
      </c>
      <c r="C59" s="43">
        <f>0</f>
        <v/>
      </c>
      <c r="D59" s="43">
        <f>C66</f>
        <v/>
      </c>
      <c r="E59" s="43">
        <f>D66</f>
        <v/>
      </c>
      <c r="F59" s="43">
        <f>E66</f>
        <v/>
      </c>
      <c r="G59" s="43">
        <f>F66</f>
        <v/>
      </c>
      <c r="H59" s="43">
        <f>G66</f>
        <v/>
      </c>
      <c r="I59" s="43">
        <f>H66</f>
        <v/>
      </c>
      <c r="J59" s="43">
        <f>I66</f>
        <v/>
      </c>
      <c r="K59" s="43">
        <f>J66</f>
        <v/>
      </c>
      <c r="L59" s="43">
        <f>K66</f>
        <v/>
      </c>
      <c r="M59" s="43">
        <f>L66</f>
        <v/>
      </c>
      <c r="N59" s="43">
        <f>M66</f>
        <v/>
      </c>
      <c r="O59" s="43">
        <f>N66</f>
        <v/>
      </c>
      <c r="P59" s="43">
        <f>O66</f>
        <v/>
      </c>
      <c r="Q59" s="43">
        <f>P66</f>
        <v/>
      </c>
    </row>
    <row r="60">
      <c r="A60" s="10" t="inlineStr">
        <is>
          <t>First run received</t>
        </is>
      </c>
      <c r="C60" s="43">
        <f>IF(EOMONTH(in_FirstShip,0)=EOMONTH(C$23,0),$B$9,0)</f>
        <v/>
      </c>
      <c r="D60" s="43">
        <f>IF(EOMONTH(in_FirstShip,0)=EOMONTH(D$23,0),$B$9,0)</f>
        <v/>
      </c>
      <c r="E60" s="43">
        <f>IF(EOMONTH(in_FirstShip,0)=EOMONTH(E$23,0),$B$9,0)</f>
        <v/>
      </c>
      <c r="F60" s="43">
        <f>IF(EOMONTH(in_FirstShip,0)=EOMONTH(F$23,0),$B$9,0)</f>
        <v/>
      </c>
      <c r="G60" s="43">
        <f>IF(EOMONTH(in_FirstShip,0)=EOMONTH(G$23,0),$B$9,0)</f>
        <v/>
      </c>
      <c r="H60" s="43">
        <f>IF(EOMONTH(in_FirstShip,0)=EOMONTH(H$23,0),$B$9,0)</f>
        <v/>
      </c>
      <c r="I60" s="43">
        <f>IF(EOMONTH(in_FirstShip,0)=EOMONTH(I$23,0),$B$9,0)</f>
        <v/>
      </c>
      <c r="J60" s="43">
        <f>IF(EOMONTH(in_FirstShip,0)=EOMONTH(J$23,0),$B$9,0)</f>
        <v/>
      </c>
      <c r="K60" s="43">
        <f>IF(EOMONTH(in_FirstShip,0)=EOMONTH(K$23,0),$B$9,0)</f>
        <v/>
      </c>
      <c r="L60" s="43">
        <f>IF(EOMONTH(in_FirstShip,0)=EOMONTH(L$23,0),$B$9,0)</f>
        <v/>
      </c>
      <c r="M60" s="43">
        <f>IF(EOMONTH(in_FirstShip,0)=EOMONTH(M$23,0),$B$9,0)</f>
        <v/>
      </c>
      <c r="N60" s="43">
        <f>IF(EOMONTH(in_FirstShip,0)=EOMONTH(N$23,0),$B$9,0)</f>
        <v/>
      </c>
      <c r="O60" s="43">
        <f>IF(EOMONTH(in_FirstShip,0)=EOMONTH(O$23,0),$B$9,0)</f>
        <v/>
      </c>
      <c r="P60" s="43">
        <f>IF(EOMONTH(in_FirstShip,0)=EOMONTH(P$23,0),$B$9,0)</f>
        <v/>
      </c>
      <c r="Q60" s="43">
        <f>IF(EOMONTH(in_FirstShip,0)=EOMONTH(Q$23,0),$B$9,0)</f>
        <v/>
      </c>
      <c r="R60" s="44">
        <f>SUM(C60:Q60)</f>
        <v/>
      </c>
    </row>
    <row r="61">
      <c r="A61" s="10" t="inlineStr">
        <is>
          <t>Reorders received (placed lead-time months earlier)</t>
        </is>
      </c>
      <c r="C61" s="43">
        <f>IF(in_Lead=1,0,IF(in_Lead=2,0,IF(in_Lead=3,0,0)))</f>
        <v/>
      </c>
      <c r="D61" s="43">
        <f>IF(in_Lead=1,C63,IF(in_Lead=2,0,IF(in_Lead=3,0,0)))</f>
        <v/>
      </c>
      <c r="E61" s="43">
        <f>IF(in_Lead=1,D63,IF(in_Lead=2,C63,IF(in_Lead=3,0,0)))</f>
        <v/>
      </c>
      <c r="F61" s="43">
        <f>IF(in_Lead=1,E63,IF(in_Lead=2,D63,IF(in_Lead=3,C63,0)))</f>
        <v/>
      </c>
      <c r="G61" s="43">
        <f>IF(in_Lead=1,F63,IF(in_Lead=2,E63,IF(in_Lead=3,D63,0)))</f>
        <v/>
      </c>
      <c r="H61" s="43">
        <f>IF(in_Lead=1,G63,IF(in_Lead=2,F63,IF(in_Lead=3,E63,0)))</f>
        <v/>
      </c>
      <c r="I61" s="43">
        <f>IF(in_Lead=1,H63,IF(in_Lead=2,G63,IF(in_Lead=3,F63,0)))</f>
        <v/>
      </c>
      <c r="J61" s="43">
        <f>IF(in_Lead=1,I63,IF(in_Lead=2,H63,IF(in_Lead=3,G63,0)))</f>
        <v/>
      </c>
      <c r="K61" s="43">
        <f>IF(in_Lead=1,J63,IF(in_Lead=2,I63,IF(in_Lead=3,H63,0)))</f>
        <v/>
      </c>
      <c r="L61" s="43">
        <f>IF(in_Lead=1,K63,IF(in_Lead=2,J63,IF(in_Lead=3,I63,0)))</f>
        <v/>
      </c>
      <c r="M61" s="43">
        <f>IF(in_Lead=1,L63,IF(in_Lead=2,K63,IF(in_Lead=3,J63,0)))</f>
        <v/>
      </c>
      <c r="N61" s="43">
        <f>IF(in_Lead=1,M63,IF(in_Lead=2,L63,IF(in_Lead=3,K63,0)))</f>
        <v/>
      </c>
      <c r="O61" s="43">
        <f>IF(in_Lead=1,N63,IF(in_Lead=2,M63,IF(in_Lead=3,L63,0)))</f>
        <v/>
      </c>
      <c r="P61" s="43">
        <f>IF(in_Lead=1,O63,IF(in_Lead=2,N63,IF(in_Lead=3,M63,0)))</f>
        <v/>
      </c>
      <c r="Q61" s="43">
        <f>IF(in_Lead=1,P63,IF(in_Lead=2,O63,IF(in_Lead=3,N63,0)))</f>
        <v/>
      </c>
      <c r="R61" s="44">
        <f>SUM(C61:Q61)</f>
        <v/>
      </c>
    </row>
    <row r="62">
      <c r="A62" s="10" t="inlineStr">
        <is>
          <t>On order, still in transit after this month</t>
        </is>
      </c>
      <c r="C62" s="43">
        <f>IF(in_Lead&gt;=2,0,0)+IF(in_Lead&gt;=3,0,0)</f>
        <v/>
      </c>
      <c r="D62" s="43">
        <f>IF(in_Lead&gt;=2,C63,0)+IF(in_Lead&gt;=3,0,0)</f>
        <v/>
      </c>
      <c r="E62" s="43">
        <f>IF(in_Lead&gt;=2,D63,0)+IF(in_Lead&gt;=3,C63,0)</f>
        <v/>
      </c>
      <c r="F62" s="43">
        <f>IF(in_Lead&gt;=2,E63,0)+IF(in_Lead&gt;=3,D63,0)</f>
        <v/>
      </c>
      <c r="G62" s="43">
        <f>IF(in_Lead&gt;=2,F63,0)+IF(in_Lead&gt;=3,E63,0)</f>
        <v/>
      </c>
      <c r="H62" s="43">
        <f>IF(in_Lead&gt;=2,G63,0)+IF(in_Lead&gt;=3,F63,0)</f>
        <v/>
      </c>
      <c r="I62" s="43">
        <f>IF(in_Lead&gt;=2,H63,0)+IF(in_Lead&gt;=3,G63,0)</f>
        <v/>
      </c>
      <c r="J62" s="43">
        <f>IF(in_Lead&gt;=2,I63,0)+IF(in_Lead&gt;=3,H63,0)</f>
        <v/>
      </c>
      <c r="K62" s="43">
        <f>IF(in_Lead&gt;=2,J63,0)+IF(in_Lead&gt;=3,I63,0)</f>
        <v/>
      </c>
      <c r="L62" s="43">
        <f>IF(in_Lead&gt;=2,K63,0)+IF(in_Lead&gt;=3,J63,0)</f>
        <v/>
      </c>
      <c r="M62" s="43">
        <f>IF(in_Lead&gt;=2,L63,0)+IF(in_Lead&gt;=3,K63,0)</f>
        <v/>
      </c>
      <c r="N62" s="43">
        <f>IF(in_Lead&gt;=2,M63,0)+IF(in_Lead&gt;=3,L63,0)</f>
        <v/>
      </c>
      <c r="O62" s="43">
        <f>IF(in_Lead&gt;=2,N63,0)+IF(in_Lead&gt;=3,M63,0)</f>
        <v/>
      </c>
      <c r="P62" s="43">
        <f>IF(in_Lead&gt;=2,O63,0)+IF(in_Lead&gt;=3,N63,0)</f>
        <v/>
      </c>
      <c r="Q62" s="43">
        <f>IF(in_Lead&gt;=2,P63,0)+IF(in_Lead&gt;=3,O63,0)</f>
        <v/>
      </c>
    </row>
    <row r="63">
      <c r="A63" s="10" t="inlineStr">
        <is>
          <t>Reorder placed and paid</t>
        </is>
      </c>
      <c r="C63" s="43">
        <f>IF(C24=1,IF(C59+C60+C61+C62&lt;C58*in_Cover,ROUNDUP((C58*in_Cover-(C59+C60+C61+C62))/$B$9,0)*$B$9,0),0)</f>
        <v/>
      </c>
      <c r="D63" s="43">
        <f>IF(D24=1,IF(D59+D60+D61+D62&lt;D58*in_Cover,ROUNDUP((D58*in_Cover-(D59+D60+D61+D62))/$B$9,0)*$B$9,0),0)</f>
        <v/>
      </c>
      <c r="E63" s="43">
        <f>IF(E24=1,IF(E59+E60+E61+E62&lt;E58*in_Cover,ROUNDUP((E58*in_Cover-(E59+E60+E61+E62))/$B$9,0)*$B$9,0),0)</f>
        <v/>
      </c>
      <c r="F63" s="43">
        <f>IF(F24=1,IF(F59+F60+F61+F62&lt;F58*in_Cover,ROUNDUP((F58*in_Cover-(F59+F60+F61+F62))/$B$9,0)*$B$9,0),0)</f>
        <v/>
      </c>
      <c r="G63" s="43">
        <f>IF(G24=1,IF(G59+G60+G61+G62&lt;G58*in_Cover,ROUNDUP((G58*in_Cover-(G59+G60+G61+G62))/$B$9,0)*$B$9,0),0)</f>
        <v/>
      </c>
      <c r="H63" s="43">
        <f>IF(H24=1,IF(H59+H60+H61+H62&lt;H58*in_Cover,ROUNDUP((H58*in_Cover-(H59+H60+H61+H62))/$B$9,0)*$B$9,0),0)</f>
        <v/>
      </c>
      <c r="I63" s="43">
        <f>IF(I24=1,IF(I59+I60+I61+I62&lt;I58*in_Cover,ROUNDUP((I58*in_Cover-(I59+I60+I61+I62))/$B$9,0)*$B$9,0),0)</f>
        <v/>
      </c>
      <c r="J63" s="43">
        <f>IF(J24=1,IF(J59+J60+J61+J62&lt;J58*in_Cover,ROUNDUP((J58*in_Cover-(J59+J60+J61+J62))/$B$9,0)*$B$9,0),0)</f>
        <v/>
      </c>
      <c r="K63" s="43">
        <f>IF(K24=1,IF(K59+K60+K61+K62&lt;K58*in_Cover,ROUNDUP((K58*in_Cover-(K59+K60+K61+K62))/$B$9,0)*$B$9,0),0)</f>
        <v/>
      </c>
      <c r="L63" s="43">
        <f>IF(L24=1,IF(L59+L60+L61+L62&lt;L58*in_Cover,ROUNDUP((L58*in_Cover-(L59+L60+L61+L62))/$B$9,0)*$B$9,0),0)</f>
        <v/>
      </c>
      <c r="M63" s="43">
        <f>IF(M24=1,IF(M59+M60+M61+M62&lt;M58*in_Cover,ROUNDUP((M58*in_Cover-(M59+M60+M61+M62))/$B$9,0)*$B$9,0),0)</f>
        <v/>
      </c>
      <c r="N63" s="43">
        <f>IF(N24=1,IF(N59+N60+N61+N62&lt;N58*in_Cover,ROUNDUP((N58*in_Cover-(N59+N60+N61+N62))/$B$9,0)*$B$9,0),0)</f>
        <v/>
      </c>
      <c r="O63" s="43">
        <f>IF(O24=1,IF(O59+O60+O61+O62&lt;O58*in_Cover,ROUNDUP((O58*in_Cover-(O59+O60+O61+O62))/$B$9,0)*$B$9,0),0)</f>
        <v/>
      </c>
      <c r="P63" s="43">
        <f>IF(P24=1,IF(P59+P60+P61+P62&lt;P58*in_Cover,ROUNDUP((P58*in_Cover-(P59+P60+P61+P62))/$B$9,0)*$B$9,0),0)</f>
        <v/>
      </c>
      <c r="Q63" s="43">
        <f>IF(Q24=1,IF(Q59+Q60+Q61+Q62&lt;Q58*in_Cover,ROUNDUP((Q58*in_Cover-(Q59+Q60+Q61+Q62))/$B$9,0)*$B$9,0),0)</f>
        <v/>
      </c>
      <c r="R63" s="44">
        <f>SUM(C63:Q63)</f>
        <v/>
      </c>
    </row>
    <row r="64">
      <c r="A64" s="10" t="inlineStr">
        <is>
          <t>Sticks sold</t>
        </is>
      </c>
      <c r="C64" s="43">
        <f>MIN(C58,C59+C60+C61)</f>
        <v/>
      </c>
      <c r="D64" s="43">
        <f>MIN(D58,D59+D60+D61)</f>
        <v/>
      </c>
      <c r="E64" s="43">
        <f>MIN(E58,E59+E60+E61)</f>
        <v/>
      </c>
      <c r="F64" s="43">
        <f>MIN(F58,F59+F60+F61)</f>
        <v/>
      </c>
      <c r="G64" s="43">
        <f>MIN(G58,G59+G60+G61)</f>
        <v/>
      </c>
      <c r="H64" s="43">
        <f>MIN(H58,H59+H60+H61)</f>
        <v/>
      </c>
      <c r="I64" s="43">
        <f>MIN(I58,I59+I60+I61)</f>
        <v/>
      </c>
      <c r="J64" s="43">
        <f>MIN(J58,J59+J60+J61)</f>
        <v/>
      </c>
      <c r="K64" s="43">
        <f>MIN(K58,K59+K60+K61)</f>
        <v/>
      </c>
      <c r="L64" s="43">
        <f>MIN(L58,L59+L60+L61)</f>
        <v/>
      </c>
      <c r="M64" s="43">
        <f>MIN(M58,M59+M60+M61)</f>
        <v/>
      </c>
      <c r="N64" s="43">
        <f>MIN(N58,N59+N60+N61)</f>
        <v/>
      </c>
      <c r="O64" s="43">
        <f>MIN(O58,O59+O60+O61)</f>
        <v/>
      </c>
      <c r="P64" s="43">
        <f>MIN(P58,P59+P60+P61)</f>
        <v/>
      </c>
      <c r="Q64" s="43">
        <f>MIN(Q58,Q59+Q60+Q61)</f>
        <v/>
      </c>
      <c r="R64" s="44">
        <f>SUM(C64:Q64)</f>
        <v/>
      </c>
    </row>
    <row r="65">
      <c r="A65" s="10" t="inlineStr">
        <is>
          <t>Stick shortfall (check: should be 0)</t>
        </is>
      </c>
      <c r="B65" s="6" t="inlineStr">
        <is>
          <t>Must stay 0</t>
        </is>
      </c>
      <c r="C65" s="43">
        <f>C58-C64</f>
        <v/>
      </c>
      <c r="D65" s="43">
        <f>D58-D64</f>
        <v/>
      </c>
      <c r="E65" s="43">
        <f>E58-E64</f>
        <v/>
      </c>
      <c r="F65" s="43">
        <f>F58-F64</f>
        <v/>
      </c>
      <c r="G65" s="43">
        <f>G58-G64</f>
        <v/>
      </c>
      <c r="H65" s="43">
        <f>H58-H64</f>
        <v/>
      </c>
      <c r="I65" s="43">
        <f>I58-I64</f>
        <v/>
      </c>
      <c r="J65" s="43">
        <f>J58-J64</f>
        <v/>
      </c>
      <c r="K65" s="43">
        <f>K58-K64</f>
        <v/>
      </c>
      <c r="L65" s="43">
        <f>L58-L64</f>
        <v/>
      </c>
      <c r="M65" s="43">
        <f>M58-M64</f>
        <v/>
      </c>
      <c r="N65" s="43">
        <f>N58-N64</f>
        <v/>
      </c>
      <c r="O65" s="43">
        <f>O58-O64</f>
        <v/>
      </c>
      <c r="P65" s="43">
        <f>P58-P64</f>
        <v/>
      </c>
      <c r="Q65" s="43">
        <f>Q58-Q64</f>
        <v/>
      </c>
      <c r="R65" s="44">
        <f>SUM(C65:Q65)</f>
        <v/>
      </c>
    </row>
    <row r="66">
      <c r="A66" s="10" t="inlineStr">
        <is>
          <t>Closing stock</t>
        </is>
      </c>
      <c r="C66" s="43">
        <f>C59+C60+C61-C64</f>
        <v/>
      </c>
      <c r="D66" s="43">
        <f>D59+D60+D61-D64</f>
        <v/>
      </c>
      <c r="E66" s="43">
        <f>E59+E60+E61-E64</f>
        <v/>
      </c>
      <c r="F66" s="43">
        <f>F59+F60+F61-F64</f>
        <v/>
      </c>
      <c r="G66" s="43">
        <f>G59+G60+G61-G64</f>
        <v/>
      </c>
      <c r="H66" s="43">
        <f>H59+H60+H61-H64</f>
        <v/>
      </c>
      <c r="I66" s="43">
        <f>I59+I60+I61-I64</f>
        <v/>
      </c>
      <c r="J66" s="43">
        <f>J59+J60+J61-J64</f>
        <v/>
      </c>
      <c r="K66" s="43">
        <f>K59+K60+K61-K64</f>
        <v/>
      </c>
      <c r="L66" s="43">
        <f>L59+L60+L61-L64</f>
        <v/>
      </c>
      <c r="M66" s="43">
        <f>M59+M60+M61-M64</f>
        <v/>
      </c>
      <c r="N66" s="43">
        <f>N59+N60+N61-N64</f>
        <v/>
      </c>
      <c r="O66" s="43">
        <f>O59+O60+O61-O64</f>
        <v/>
      </c>
      <c r="P66" s="43">
        <f>P59+P60+P61-P64</f>
        <v/>
      </c>
      <c r="Q66" s="43">
        <f>Q59+Q60+Q61-Q64</f>
        <v/>
      </c>
    </row>
    <row r="68">
      <c r="A68" s="7" t="inlineStr">
        <is>
          <t>Cash in</t>
        </is>
      </c>
      <c r="B68" s="8" t="n"/>
      <c r="C68" s="8" t="n"/>
      <c r="D68" s="8" t="n"/>
      <c r="E68" s="8" t="n"/>
      <c r="F68" s="8" t="n"/>
      <c r="G68" s="8" t="n"/>
      <c r="H68" s="8" t="n"/>
      <c r="I68" s="8" t="n"/>
      <c r="J68" s="8" t="n"/>
      <c r="K68" s="8" t="n"/>
      <c r="L68" s="8" t="n"/>
      <c r="M68" s="8" t="n"/>
      <c r="N68" s="8" t="n"/>
      <c r="O68" s="8" t="n"/>
      <c r="P68" s="8" t="n"/>
      <c r="Q68" s="8" t="n"/>
      <c r="R68" s="8" t="n"/>
    </row>
    <row r="69">
      <c r="A69" s="10" t="inlineStr">
        <is>
          <t>DTC one-off pouches</t>
        </is>
      </c>
      <c r="C69" s="45">
        <f>C35*in_PricePouch</f>
        <v/>
      </c>
      <c r="D69" s="45">
        <f>D35*in_PricePouch</f>
        <v/>
      </c>
      <c r="E69" s="45">
        <f>E35*in_PricePouch</f>
        <v/>
      </c>
      <c r="F69" s="45">
        <f>F35*in_PricePouch</f>
        <v/>
      </c>
      <c r="G69" s="45">
        <f>G35*in_PricePouch</f>
        <v/>
      </c>
      <c r="H69" s="45">
        <f>H35*in_PricePouch</f>
        <v/>
      </c>
      <c r="I69" s="45">
        <f>I35*in_PricePouch</f>
        <v/>
      </c>
      <c r="J69" s="45">
        <f>J35*in_PricePouch</f>
        <v/>
      </c>
      <c r="K69" s="45">
        <f>K35*in_PricePouch</f>
        <v/>
      </c>
      <c r="L69" s="45">
        <f>L35*in_PricePouch</f>
        <v/>
      </c>
      <c r="M69" s="45">
        <f>M35*in_PricePouch</f>
        <v/>
      </c>
      <c r="N69" s="45">
        <f>N35*in_PricePouch</f>
        <v/>
      </c>
      <c r="O69" s="45">
        <f>O35*in_PricePouch</f>
        <v/>
      </c>
      <c r="P69" s="45">
        <f>P35*in_PricePouch</f>
        <v/>
      </c>
      <c r="Q69" s="45">
        <f>Q35*in_PricePouch</f>
        <v/>
      </c>
      <c r="R69" s="46">
        <f>SUM(C69:Q69)</f>
        <v/>
      </c>
    </row>
    <row r="70">
      <c r="A70" s="10" t="inlineStr">
        <is>
          <t>DTC subscription pouches</t>
        </is>
      </c>
      <c r="C70" s="45">
        <f>C32*in_PricePouch*(1-in_SubDisc)</f>
        <v/>
      </c>
      <c r="D70" s="45">
        <f>D32*in_PricePouch*(1-in_SubDisc)</f>
        <v/>
      </c>
      <c r="E70" s="45">
        <f>E32*in_PricePouch*(1-in_SubDisc)</f>
        <v/>
      </c>
      <c r="F70" s="45">
        <f>F32*in_PricePouch*(1-in_SubDisc)</f>
        <v/>
      </c>
      <c r="G70" s="45">
        <f>G32*in_PricePouch*(1-in_SubDisc)</f>
        <v/>
      </c>
      <c r="H70" s="45">
        <f>H32*in_PricePouch*(1-in_SubDisc)</f>
        <v/>
      </c>
      <c r="I70" s="45">
        <f>I32*in_PricePouch*(1-in_SubDisc)</f>
        <v/>
      </c>
      <c r="J70" s="45">
        <f>J32*in_PricePouch*(1-in_SubDisc)</f>
        <v/>
      </c>
      <c r="K70" s="45">
        <f>K32*in_PricePouch*(1-in_SubDisc)</f>
        <v/>
      </c>
      <c r="L70" s="45">
        <f>L32*in_PricePouch*(1-in_SubDisc)</f>
        <v/>
      </c>
      <c r="M70" s="45">
        <f>M32*in_PricePouch*(1-in_SubDisc)</f>
        <v/>
      </c>
      <c r="N70" s="45">
        <f>N32*in_PricePouch*(1-in_SubDisc)</f>
        <v/>
      </c>
      <c r="O70" s="45">
        <f>O32*in_PricePouch*(1-in_SubDisc)</f>
        <v/>
      </c>
      <c r="P70" s="45">
        <f>P32*in_PricePouch*(1-in_SubDisc)</f>
        <v/>
      </c>
      <c r="Q70" s="45">
        <f>Q32*in_PricePouch*(1-in_SubDisc)</f>
        <v/>
      </c>
      <c r="R70" s="46">
        <f>SUM(C70:Q70)</f>
        <v/>
      </c>
    </row>
    <row r="71">
      <c r="A71" s="10" t="inlineStr">
        <is>
          <t>Founding offer discount (waitlist first orders)</t>
        </is>
      </c>
      <c r="C71" s="45">
        <f>-C27*in_PricePouch*in_FoundDisc</f>
        <v/>
      </c>
      <c r="D71" s="45">
        <f>-D27*in_PricePouch*in_FoundDisc</f>
        <v/>
      </c>
      <c r="E71" s="45">
        <f>-E27*in_PricePouch*in_FoundDisc</f>
        <v/>
      </c>
      <c r="F71" s="45">
        <f>-F27*in_PricePouch*in_FoundDisc</f>
        <v/>
      </c>
      <c r="G71" s="45">
        <f>-G27*in_PricePouch*in_FoundDisc</f>
        <v/>
      </c>
      <c r="H71" s="45">
        <f>-H27*in_PricePouch*in_FoundDisc</f>
        <v/>
      </c>
      <c r="I71" s="45">
        <f>-I27*in_PricePouch*in_FoundDisc</f>
        <v/>
      </c>
      <c r="J71" s="45">
        <f>-J27*in_PricePouch*in_FoundDisc</f>
        <v/>
      </c>
      <c r="K71" s="45">
        <f>-K27*in_PricePouch*in_FoundDisc</f>
        <v/>
      </c>
      <c r="L71" s="45">
        <f>-L27*in_PricePouch*in_FoundDisc</f>
        <v/>
      </c>
      <c r="M71" s="45">
        <f>-M27*in_PricePouch*in_FoundDisc</f>
        <v/>
      </c>
      <c r="N71" s="45">
        <f>-N27*in_PricePouch*in_FoundDisc</f>
        <v/>
      </c>
      <c r="O71" s="45">
        <f>-O27*in_PricePouch*in_FoundDisc</f>
        <v/>
      </c>
      <c r="P71" s="45">
        <f>-P27*in_PricePouch*in_FoundDisc</f>
        <v/>
      </c>
      <c r="Q71" s="45">
        <f>-Q27*in_PricePouch*in_FoundDisc</f>
        <v/>
      </c>
      <c r="R71" s="46">
        <f>SUM(C71:Q71)</f>
        <v/>
      </c>
    </row>
    <row r="72">
      <c r="A72" s="10" t="inlineStr">
        <is>
          <t>DTC stick boxes</t>
        </is>
      </c>
      <c r="C72" s="45">
        <f>C37*in_PriceStickBox</f>
        <v/>
      </c>
      <c r="D72" s="45">
        <f>D37*in_PriceStickBox</f>
        <v/>
      </c>
      <c r="E72" s="45">
        <f>E37*in_PriceStickBox</f>
        <v/>
      </c>
      <c r="F72" s="45">
        <f>F37*in_PriceStickBox</f>
        <v/>
      </c>
      <c r="G72" s="45">
        <f>G37*in_PriceStickBox</f>
        <v/>
      </c>
      <c r="H72" s="45">
        <f>H37*in_PriceStickBox</f>
        <v/>
      </c>
      <c r="I72" s="45">
        <f>I37*in_PriceStickBox</f>
        <v/>
      </c>
      <c r="J72" s="45">
        <f>J37*in_PriceStickBox</f>
        <v/>
      </c>
      <c r="K72" s="45">
        <f>K37*in_PriceStickBox</f>
        <v/>
      </c>
      <c r="L72" s="45">
        <f>L37*in_PriceStickBox</f>
        <v/>
      </c>
      <c r="M72" s="45">
        <f>M37*in_PriceStickBox</f>
        <v/>
      </c>
      <c r="N72" s="45">
        <f>N37*in_PriceStickBox</f>
        <v/>
      </c>
      <c r="O72" s="45">
        <f>O37*in_PriceStickBox</f>
        <v/>
      </c>
      <c r="P72" s="45">
        <f>P37*in_PriceStickBox</f>
        <v/>
      </c>
      <c r="Q72" s="45">
        <f>Q37*in_PriceStickBox</f>
        <v/>
      </c>
      <c r="R72" s="46">
        <f>SUM(C72:Q72)</f>
        <v/>
      </c>
    </row>
    <row r="73">
      <c r="A73" s="10" t="inlineStr">
        <is>
          <t>Shipping charged to customers</t>
        </is>
      </c>
      <c r="C73" s="45">
        <f>IF(in_FreeShip=1,0,(C36+C37)*in_ShipCharge)</f>
        <v/>
      </c>
      <c r="D73" s="45">
        <f>IF(in_FreeShip=1,0,(D36+D37)*in_ShipCharge)</f>
        <v/>
      </c>
      <c r="E73" s="45">
        <f>IF(in_FreeShip=1,0,(E36+E37)*in_ShipCharge)</f>
        <v/>
      </c>
      <c r="F73" s="45">
        <f>IF(in_FreeShip=1,0,(F36+F37)*in_ShipCharge)</f>
        <v/>
      </c>
      <c r="G73" s="45">
        <f>IF(in_FreeShip=1,0,(G36+G37)*in_ShipCharge)</f>
        <v/>
      </c>
      <c r="H73" s="45">
        <f>IF(in_FreeShip=1,0,(H36+H37)*in_ShipCharge)</f>
        <v/>
      </c>
      <c r="I73" s="45">
        <f>IF(in_FreeShip=1,0,(I36+I37)*in_ShipCharge)</f>
        <v/>
      </c>
      <c r="J73" s="45">
        <f>IF(in_FreeShip=1,0,(J36+J37)*in_ShipCharge)</f>
        <v/>
      </c>
      <c r="K73" s="45">
        <f>IF(in_FreeShip=1,0,(K36+K37)*in_ShipCharge)</f>
        <v/>
      </c>
      <c r="L73" s="45">
        <f>IF(in_FreeShip=1,0,(L36+L37)*in_ShipCharge)</f>
        <v/>
      </c>
      <c r="M73" s="45">
        <f>IF(in_FreeShip=1,0,(M36+M37)*in_ShipCharge)</f>
        <v/>
      </c>
      <c r="N73" s="45">
        <f>IF(in_FreeShip=1,0,(N36+N37)*in_ShipCharge)</f>
        <v/>
      </c>
      <c r="O73" s="45">
        <f>IF(in_FreeShip=1,0,(O36+O37)*in_ShipCharge)</f>
        <v/>
      </c>
      <c r="P73" s="45">
        <f>IF(in_FreeShip=1,0,(P36+P37)*in_ShipCharge)</f>
        <v/>
      </c>
      <c r="Q73" s="45">
        <f>IF(in_FreeShip=1,0,(Q36+Q37)*in_ShipCharge)</f>
        <v/>
      </c>
      <c r="R73" s="46">
        <f>SUM(C73:Q73)</f>
        <v/>
      </c>
    </row>
    <row r="74">
      <c r="A74" s="26" t="inlineStr">
        <is>
          <t>DTC revenue</t>
        </is>
      </c>
      <c r="C74" s="47">
        <f>SUM(C69:C73)</f>
        <v/>
      </c>
      <c r="D74" s="47">
        <f>SUM(D69:D73)</f>
        <v/>
      </c>
      <c r="E74" s="47">
        <f>SUM(E69:E73)</f>
        <v/>
      </c>
      <c r="F74" s="47">
        <f>SUM(F69:F73)</f>
        <v/>
      </c>
      <c r="G74" s="47">
        <f>SUM(G69:G73)</f>
        <v/>
      </c>
      <c r="H74" s="47">
        <f>SUM(H69:H73)</f>
        <v/>
      </c>
      <c r="I74" s="47">
        <f>SUM(I69:I73)</f>
        <v/>
      </c>
      <c r="J74" s="47">
        <f>SUM(J69:J73)</f>
        <v/>
      </c>
      <c r="K74" s="47">
        <f>SUM(K69:K73)</f>
        <v/>
      </c>
      <c r="L74" s="47">
        <f>SUM(L69:L73)</f>
        <v/>
      </c>
      <c r="M74" s="47">
        <f>SUM(M69:M73)</f>
        <v/>
      </c>
      <c r="N74" s="47">
        <f>SUM(N69:N73)</f>
        <v/>
      </c>
      <c r="O74" s="47">
        <f>SUM(O69:O73)</f>
        <v/>
      </c>
      <c r="P74" s="47">
        <f>SUM(P69:P73)</f>
        <v/>
      </c>
      <c r="Q74" s="47">
        <f>SUM(Q69:Q73)</f>
        <v/>
      </c>
      <c r="R74" s="46">
        <f>SUM(C74:Q74)</f>
        <v/>
      </c>
    </row>
    <row r="75">
      <c r="A75" s="10" t="inlineStr">
        <is>
          <t>Wholesale invoiced (pouches + sticks)</t>
        </is>
      </c>
      <c r="C75" s="45">
        <f>C42*in_WsPouch+C43*in_WsStick</f>
        <v/>
      </c>
      <c r="D75" s="45">
        <f>D42*in_WsPouch+D43*in_WsStick</f>
        <v/>
      </c>
      <c r="E75" s="45">
        <f>E42*in_WsPouch+E43*in_WsStick</f>
        <v/>
      </c>
      <c r="F75" s="45">
        <f>F42*in_WsPouch+F43*in_WsStick</f>
        <v/>
      </c>
      <c r="G75" s="45">
        <f>G42*in_WsPouch+G43*in_WsStick</f>
        <v/>
      </c>
      <c r="H75" s="45">
        <f>H42*in_WsPouch+H43*in_WsStick</f>
        <v/>
      </c>
      <c r="I75" s="45">
        <f>I42*in_WsPouch+I43*in_WsStick</f>
        <v/>
      </c>
      <c r="J75" s="45">
        <f>J42*in_WsPouch+J43*in_WsStick</f>
        <v/>
      </c>
      <c r="K75" s="45">
        <f>K42*in_WsPouch+K43*in_WsStick</f>
        <v/>
      </c>
      <c r="L75" s="45">
        <f>L42*in_WsPouch+L43*in_WsStick</f>
        <v/>
      </c>
      <c r="M75" s="45">
        <f>M42*in_WsPouch+M43*in_WsStick</f>
        <v/>
      </c>
      <c r="N75" s="45">
        <f>N42*in_WsPouch+N43*in_WsStick</f>
        <v/>
      </c>
      <c r="O75" s="45">
        <f>O42*in_WsPouch+O43*in_WsStick</f>
        <v/>
      </c>
      <c r="P75" s="45">
        <f>P42*in_WsPouch+P43*in_WsStick</f>
        <v/>
      </c>
      <c r="Q75" s="45">
        <f>Q42*in_WsPouch+Q43*in_WsStick</f>
        <v/>
      </c>
      <c r="R75" s="46">
        <f>SUM(C75:Q75)</f>
        <v/>
      </c>
    </row>
    <row r="76">
      <c r="A76" s="10" t="inlineStr">
        <is>
          <t>Wholesale cash collected</t>
        </is>
      </c>
      <c r="B76" s="6" t="inlineStr">
        <is>
          <t>Net 30 toggle</t>
        </is>
      </c>
      <c r="C76" s="45">
        <f>IF(in_Net30=1,0,C75)</f>
        <v/>
      </c>
      <c r="D76" s="45">
        <f>IF(in_Net30=1,C75,D75)</f>
        <v/>
      </c>
      <c r="E76" s="45">
        <f>IF(in_Net30=1,D75,E75)</f>
        <v/>
      </c>
      <c r="F76" s="45">
        <f>IF(in_Net30=1,E75,F75)</f>
        <v/>
      </c>
      <c r="G76" s="45">
        <f>IF(in_Net30=1,F75,G75)</f>
        <v/>
      </c>
      <c r="H76" s="45">
        <f>IF(in_Net30=1,G75,H75)</f>
        <v/>
      </c>
      <c r="I76" s="45">
        <f>IF(in_Net30=1,H75,I75)</f>
        <v/>
      </c>
      <c r="J76" s="45">
        <f>IF(in_Net30=1,I75,J75)</f>
        <v/>
      </c>
      <c r="K76" s="45">
        <f>IF(in_Net30=1,J75,K75)</f>
        <v/>
      </c>
      <c r="L76" s="45">
        <f>IF(in_Net30=1,K75,L75)</f>
        <v/>
      </c>
      <c r="M76" s="45">
        <f>IF(in_Net30=1,L75,M75)</f>
        <v/>
      </c>
      <c r="N76" s="45">
        <f>IF(in_Net30=1,M75,N75)</f>
        <v/>
      </c>
      <c r="O76" s="45">
        <f>IF(in_Net30=1,N75,O75)</f>
        <v/>
      </c>
      <c r="P76" s="45">
        <f>IF(in_Net30=1,O75,P75)</f>
        <v/>
      </c>
      <c r="Q76" s="45">
        <f>IF(in_Net30=1,P75,Q75)</f>
        <v/>
      </c>
      <c r="R76" s="46">
        <f>SUM(C76:Q76)</f>
        <v/>
      </c>
    </row>
    <row r="77">
      <c r="A77" s="26" t="inlineStr">
        <is>
          <t>Total cash in</t>
        </is>
      </c>
      <c r="C77" s="47">
        <f>C74+C76</f>
        <v/>
      </c>
      <c r="D77" s="47">
        <f>D74+D76</f>
        <v/>
      </c>
      <c r="E77" s="47">
        <f>E74+E76</f>
        <v/>
      </c>
      <c r="F77" s="47">
        <f>F74+F76</f>
        <v/>
      </c>
      <c r="G77" s="47">
        <f>G74+G76</f>
        <v/>
      </c>
      <c r="H77" s="47">
        <f>H74+H76</f>
        <v/>
      </c>
      <c r="I77" s="47">
        <f>I74+I76</f>
        <v/>
      </c>
      <c r="J77" s="47">
        <f>J74+J76</f>
        <v/>
      </c>
      <c r="K77" s="47">
        <f>K74+K76</f>
        <v/>
      </c>
      <c r="L77" s="47">
        <f>L74+L76</f>
        <v/>
      </c>
      <c r="M77" s="47">
        <f>M74+M76</f>
        <v/>
      </c>
      <c r="N77" s="47">
        <f>N74+N76</f>
        <v/>
      </c>
      <c r="O77" s="47">
        <f>O74+O76</f>
        <v/>
      </c>
      <c r="P77" s="47">
        <f>P74+P76</f>
        <v/>
      </c>
      <c r="Q77" s="47">
        <f>Q74+Q76</f>
        <v/>
      </c>
      <c r="R77" s="46">
        <f>SUM(C77:Q77)</f>
        <v/>
      </c>
    </row>
    <row r="79">
      <c r="A79" s="7" t="inlineStr">
        <is>
          <t>Inventory purchases (cash out)</t>
        </is>
      </c>
      <c r="B79" s="8" t="n"/>
      <c r="C79" s="8" t="n"/>
      <c r="D79" s="8" t="n"/>
      <c r="E79" s="8" t="n"/>
      <c r="F79" s="8" t="n"/>
      <c r="G79" s="8" t="n"/>
      <c r="H79" s="8" t="n"/>
      <c r="I79" s="8" t="n"/>
      <c r="J79" s="8" t="n"/>
      <c r="K79" s="8" t="n"/>
      <c r="L79" s="8" t="n"/>
      <c r="M79" s="8" t="n"/>
      <c r="N79" s="8" t="n"/>
      <c r="O79" s="8" t="n"/>
      <c r="P79" s="8" t="n"/>
      <c r="Q79" s="8" t="n"/>
      <c r="R79" s="8" t="n"/>
    </row>
    <row r="80">
      <c r="A80" s="10" t="inlineStr">
        <is>
          <t>First pouch run (deposit, then balance; less sample credit)</t>
        </is>
      </c>
      <c r="B80" s="6" t="inlineStr">
        <is>
          <t>Mode-dependent</t>
        </is>
      </c>
      <c r="C80" s="45">
        <f>$B$8*$B$6*(IF(EOMONTH(in_PODate,0)=EOMONTH(C$23,0),in_Deposit,0)+IF(EOMONTH(in_BalanceDate,0)=EOMONTH(C$23,0),1-in_Deposit,0))-IF(EOMONTH(in_PODate,0)=EOMONTH(C$23,0),$B$10,0)</f>
        <v/>
      </c>
      <c r="D80" s="45">
        <f>$B$8*$B$6*(IF(EOMONTH(in_PODate,0)=EOMONTH(D$23,0),in_Deposit,0)+IF(EOMONTH(in_BalanceDate,0)=EOMONTH(D$23,0),1-in_Deposit,0))-IF(EOMONTH(in_PODate,0)=EOMONTH(D$23,0),$B$10,0)</f>
        <v/>
      </c>
      <c r="E80" s="45">
        <f>$B$8*$B$6*(IF(EOMONTH(in_PODate,0)=EOMONTH(E$23,0),in_Deposit,0)+IF(EOMONTH(in_BalanceDate,0)=EOMONTH(E$23,0),1-in_Deposit,0))-IF(EOMONTH(in_PODate,0)=EOMONTH(E$23,0),$B$10,0)</f>
        <v/>
      </c>
      <c r="F80" s="45">
        <f>$B$8*$B$6*(IF(EOMONTH(in_PODate,0)=EOMONTH(F$23,0),in_Deposit,0)+IF(EOMONTH(in_BalanceDate,0)=EOMONTH(F$23,0),1-in_Deposit,0))-IF(EOMONTH(in_PODate,0)=EOMONTH(F$23,0),$B$10,0)</f>
        <v/>
      </c>
      <c r="G80" s="45">
        <f>$B$8*$B$6*(IF(EOMONTH(in_PODate,0)=EOMONTH(G$23,0),in_Deposit,0)+IF(EOMONTH(in_BalanceDate,0)=EOMONTH(G$23,0),1-in_Deposit,0))-IF(EOMONTH(in_PODate,0)=EOMONTH(G$23,0),$B$10,0)</f>
        <v/>
      </c>
      <c r="H80" s="45">
        <f>$B$8*$B$6*(IF(EOMONTH(in_PODate,0)=EOMONTH(H$23,0),in_Deposit,0)+IF(EOMONTH(in_BalanceDate,0)=EOMONTH(H$23,0),1-in_Deposit,0))-IF(EOMONTH(in_PODate,0)=EOMONTH(H$23,0),$B$10,0)</f>
        <v/>
      </c>
      <c r="I80" s="45">
        <f>$B$8*$B$6*(IF(EOMONTH(in_PODate,0)=EOMONTH(I$23,0),in_Deposit,0)+IF(EOMONTH(in_BalanceDate,0)=EOMONTH(I$23,0),1-in_Deposit,0))-IF(EOMONTH(in_PODate,0)=EOMONTH(I$23,0),$B$10,0)</f>
        <v/>
      </c>
      <c r="J80" s="45">
        <f>$B$8*$B$6*(IF(EOMONTH(in_PODate,0)=EOMONTH(J$23,0),in_Deposit,0)+IF(EOMONTH(in_BalanceDate,0)=EOMONTH(J$23,0),1-in_Deposit,0))-IF(EOMONTH(in_PODate,0)=EOMONTH(J$23,0),$B$10,0)</f>
        <v/>
      </c>
      <c r="K80" s="45">
        <f>$B$8*$B$6*(IF(EOMONTH(in_PODate,0)=EOMONTH(K$23,0),in_Deposit,0)+IF(EOMONTH(in_BalanceDate,0)=EOMONTH(K$23,0),1-in_Deposit,0))-IF(EOMONTH(in_PODate,0)=EOMONTH(K$23,0),$B$10,0)</f>
        <v/>
      </c>
      <c r="L80" s="45">
        <f>$B$8*$B$6*(IF(EOMONTH(in_PODate,0)=EOMONTH(L$23,0),in_Deposit,0)+IF(EOMONTH(in_BalanceDate,0)=EOMONTH(L$23,0),1-in_Deposit,0))-IF(EOMONTH(in_PODate,0)=EOMONTH(L$23,0),$B$10,0)</f>
        <v/>
      </c>
      <c r="M80" s="45">
        <f>$B$8*$B$6*(IF(EOMONTH(in_PODate,0)=EOMONTH(M$23,0),in_Deposit,0)+IF(EOMONTH(in_BalanceDate,0)=EOMONTH(M$23,0),1-in_Deposit,0))-IF(EOMONTH(in_PODate,0)=EOMONTH(M$23,0),$B$10,0)</f>
        <v/>
      </c>
      <c r="N80" s="45">
        <f>$B$8*$B$6*(IF(EOMONTH(in_PODate,0)=EOMONTH(N$23,0),in_Deposit,0)+IF(EOMONTH(in_BalanceDate,0)=EOMONTH(N$23,0),1-in_Deposit,0))-IF(EOMONTH(in_PODate,0)=EOMONTH(N$23,0),$B$10,0)</f>
        <v/>
      </c>
      <c r="O80" s="45">
        <f>$B$8*$B$6*(IF(EOMONTH(in_PODate,0)=EOMONTH(O$23,0),in_Deposit,0)+IF(EOMONTH(in_BalanceDate,0)=EOMONTH(O$23,0),1-in_Deposit,0))-IF(EOMONTH(in_PODate,0)=EOMONTH(O$23,0),$B$10,0)</f>
        <v/>
      </c>
      <c r="P80" s="45">
        <f>$B$8*$B$6*(IF(EOMONTH(in_PODate,0)=EOMONTH(P$23,0),in_Deposit,0)+IF(EOMONTH(in_BalanceDate,0)=EOMONTH(P$23,0),1-in_Deposit,0))-IF(EOMONTH(in_PODate,0)=EOMONTH(P$23,0),$B$10,0)</f>
        <v/>
      </c>
      <c r="Q80" s="45">
        <f>$B$8*$B$6*(IF(EOMONTH(in_PODate,0)=EOMONTH(Q$23,0),in_Deposit,0)+IF(EOMONTH(in_BalanceDate,0)=EOMONTH(Q$23,0),1-in_Deposit,0))-IF(EOMONTH(in_PODate,0)=EOMONTH(Q$23,0),$B$10,0)</f>
        <v/>
      </c>
      <c r="R80" s="46">
        <f>SUM(C80:Q80)</f>
        <v/>
      </c>
    </row>
    <row r="81">
      <c r="A81" s="10" t="inlineStr">
        <is>
          <t>First protein stick run (deposit, then balance)</t>
        </is>
      </c>
      <c r="C81" s="45">
        <f>$B$9*$B$7*(IF(EOMONTH(in_PODate,0)=EOMONTH(C$23,0),in_Deposit,0)+IF(EOMONTH(in_BalanceDate,0)=EOMONTH(C$23,0),1-in_Deposit,0))</f>
        <v/>
      </c>
      <c r="D81" s="45">
        <f>$B$9*$B$7*(IF(EOMONTH(in_PODate,0)=EOMONTH(D$23,0),in_Deposit,0)+IF(EOMONTH(in_BalanceDate,0)=EOMONTH(D$23,0),1-in_Deposit,0))</f>
        <v/>
      </c>
      <c r="E81" s="45">
        <f>$B$9*$B$7*(IF(EOMONTH(in_PODate,0)=EOMONTH(E$23,0),in_Deposit,0)+IF(EOMONTH(in_BalanceDate,0)=EOMONTH(E$23,0),1-in_Deposit,0))</f>
        <v/>
      </c>
      <c r="F81" s="45">
        <f>$B$9*$B$7*(IF(EOMONTH(in_PODate,0)=EOMONTH(F$23,0),in_Deposit,0)+IF(EOMONTH(in_BalanceDate,0)=EOMONTH(F$23,0),1-in_Deposit,0))</f>
        <v/>
      </c>
      <c r="G81" s="45">
        <f>$B$9*$B$7*(IF(EOMONTH(in_PODate,0)=EOMONTH(G$23,0),in_Deposit,0)+IF(EOMONTH(in_BalanceDate,0)=EOMONTH(G$23,0),1-in_Deposit,0))</f>
        <v/>
      </c>
      <c r="H81" s="45">
        <f>$B$9*$B$7*(IF(EOMONTH(in_PODate,0)=EOMONTH(H$23,0),in_Deposit,0)+IF(EOMONTH(in_BalanceDate,0)=EOMONTH(H$23,0),1-in_Deposit,0))</f>
        <v/>
      </c>
      <c r="I81" s="45">
        <f>$B$9*$B$7*(IF(EOMONTH(in_PODate,0)=EOMONTH(I$23,0),in_Deposit,0)+IF(EOMONTH(in_BalanceDate,0)=EOMONTH(I$23,0),1-in_Deposit,0))</f>
        <v/>
      </c>
      <c r="J81" s="45">
        <f>$B$9*$B$7*(IF(EOMONTH(in_PODate,0)=EOMONTH(J$23,0),in_Deposit,0)+IF(EOMONTH(in_BalanceDate,0)=EOMONTH(J$23,0),1-in_Deposit,0))</f>
        <v/>
      </c>
      <c r="K81" s="45">
        <f>$B$9*$B$7*(IF(EOMONTH(in_PODate,0)=EOMONTH(K$23,0),in_Deposit,0)+IF(EOMONTH(in_BalanceDate,0)=EOMONTH(K$23,0),1-in_Deposit,0))</f>
        <v/>
      </c>
      <c r="L81" s="45">
        <f>$B$9*$B$7*(IF(EOMONTH(in_PODate,0)=EOMONTH(L$23,0),in_Deposit,0)+IF(EOMONTH(in_BalanceDate,0)=EOMONTH(L$23,0),1-in_Deposit,0))</f>
        <v/>
      </c>
      <c r="M81" s="45">
        <f>$B$9*$B$7*(IF(EOMONTH(in_PODate,0)=EOMONTH(M$23,0),in_Deposit,0)+IF(EOMONTH(in_BalanceDate,0)=EOMONTH(M$23,0),1-in_Deposit,0))</f>
        <v/>
      </c>
      <c r="N81" s="45">
        <f>$B$9*$B$7*(IF(EOMONTH(in_PODate,0)=EOMONTH(N$23,0),in_Deposit,0)+IF(EOMONTH(in_BalanceDate,0)=EOMONTH(N$23,0),1-in_Deposit,0))</f>
        <v/>
      </c>
      <c r="O81" s="45">
        <f>$B$9*$B$7*(IF(EOMONTH(in_PODate,0)=EOMONTH(O$23,0),in_Deposit,0)+IF(EOMONTH(in_BalanceDate,0)=EOMONTH(O$23,0),1-in_Deposit,0))</f>
        <v/>
      </c>
      <c r="P81" s="45">
        <f>$B$9*$B$7*(IF(EOMONTH(in_PODate,0)=EOMONTH(P$23,0),in_Deposit,0)+IF(EOMONTH(in_BalanceDate,0)=EOMONTH(P$23,0),1-in_Deposit,0))</f>
        <v/>
      </c>
      <c r="Q81" s="45">
        <f>$B$9*$B$7*(IF(EOMONTH(in_PODate,0)=EOMONTH(Q$23,0),in_Deposit,0)+IF(EOMONTH(in_BalanceDate,0)=EOMONTH(Q$23,0),1-in_Deposit,0))</f>
        <v/>
      </c>
      <c r="R81" s="46">
        <f>SUM(C81:Q81)</f>
        <v/>
      </c>
    </row>
    <row r="82">
      <c r="A82" s="10" t="inlineStr">
        <is>
          <t>Second flavour first run</t>
        </is>
      </c>
      <c r="C82" s="45">
        <f>C49*$B$6</f>
        <v/>
      </c>
      <c r="D82" s="45">
        <f>D49*$B$6</f>
        <v/>
      </c>
      <c r="E82" s="45">
        <f>E49*$B$6</f>
        <v/>
      </c>
      <c r="F82" s="45">
        <f>F49*$B$6</f>
        <v/>
      </c>
      <c r="G82" s="45">
        <f>G49*$B$6</f>
        <v/>
      </c>
      <c r="H82" s="45">
        <f>H49*$B$6</f>
        <v/>
      </c>
      <c r="I82" s="45">
        <f>I49*$B$6</f>
        <v/>
      </c>
      <c r="J82" s="45">
        <f>J49*$B$6</f>
        <v/>
      </c>
      <c r="K82" s="45">
        <f>K49*$B$6</f>
        <v/>
      </c>
      <c r="L82" s="45">
        <f>L49*$B$6</f>
        <v/>
      </c>
      <c r="M82" s="45">
        <f>M49*$B$6</f>
        <v/>
      </c>
      <c r="N82" s="45">
        <f>N49*$B$6</f>
        <v/>
      </c>
      <c r="O82" s="45">
        <f>O49*$B$6</f>
        <v/>
      </c>
      <c r="P82" s="45">
        <f>P49*$B$6</f>
        <v/>
      </c>
      <c r="Q82" s="45">
        <f>Q49*$B$6</f>
        <v/>
      </c>
      <c r="R82" s="46">
        <f>SUM(C82:Q82)</f>
        <v/>
      </c>
    </row>
    <row r="83">
      <c r="A83" s="10" t="inlineStr">
        <is>
          <t>Reorders placed (pouches and sticks, paid in full when placed)</t>
        </is>
      </c>
      <c r="C83" s="45">
        <f>C52*$B$6+C63*$B$7</f>
        <v/>
      </c>
      <c r="D83" s="45">
        <f>D52*$B$6+D63*$B$7</f>
        <v/>
      </c>
      <c r="E83" s="45">
        <f>E52*$B$6+E63*$B$7</f>
        <v/>
      </c>
      <c r="F83" s="45">
        <f>F52*$B$6+F63*$B$7</f>
        <v/>
      </c>
      <c r="G83" s="45">
        <f>G52*$B$6+G63*$B$7</f>
        <v/>
      </c>
      <c r="H83" s="45">
        <f>H52*$B$6+H63*$B$7</f>
        <v/>
      </c>
      <c r="I83" s="45">
        <f>I52*$B$6+I63*$B$7</f>
        <v/>
      </c>
      <c r="J83" s="45">
        <f>J52*$B$6+J63*$B$7</f>
        <v/>
      </c>
      <c r="K83" s="45">
        <f>K52*$B$6+K63*$B$7</f>
        <v/>
      </c>
      <c r="L83" s="45">
        <f>L52*$B$6+L63*$B$7</f>
        <v/>
      </c>
      <c r="M83" s="45">
        <f>M52*$B$6+M63*$B$7</f>
        <v/>
      </c>
      <c r="N83" s="45">
        <f>N52*$B$6+N63*$B$7</f>
        <v/>
      </c>
      <c r="O83" s="45">
        <f>O52*$B$6+O63*$B$7</f>
        <v/>
      </c>
      <c r="P83" s="45">
        <f>P52*$B$6+P63*$B$7</f>
        <v/>
      </c>
      <c r="Q83" s="45">
        <f>Q52*$B$6+Q63*$B$7</f>
        <v/>
      </c>
      <c r="R83" s="46">
        <f>SUM(C83:Q83)</f>
        <v/>
      </c>
    </row>
    <row r="84">
      <c r="A84" s="26" t="inlineStr">
        <is>
          <t>Total inventory purchases</t>
        </is>
      </c>
      <c r="C84" s="47">
        <f>SUM(C80:C83)</f>
        <v/>
      </c>
      <c r="D84" s="47">
        <f>SUM(D80:D83)</f>
        <v/>
      </c>
      <c r="E84" s="47">
        <f>SUM(E80:E83)</f>
        <v/>
      </c>
      <c r="F84" s="47">
        <f>SUM(F80:F83)</f>
        <v/>
      </c>
      <c r="G84" s="47">
        <f>SUM(G80:G83)</f>
        <v/>
      </c>
      <c r="H84" s="47">
        <f>SUM(H80:H83)</f>
        <v/>
      </c>
      <c r="I84" s="47">
        <f>SUM(I80:I83)</f>
        <v/>
      </c>
      <c r="J84" s="47">
        <f>SUM(J80:J83)</f>
        <v/>
      </c>
      <c r="K84" s="47">
        <f>SUM(K80:K83)</f>
        <v/>
      </c>
      <c r="L84" s="47">
        <f>SUM(L80:L83)</f>
        <v/>
      </c>
      <c r="M84" s="47">
        <f>SUM(M80:M83)</f>
        <v/>
      </c>
      <c r="N84" s="47">
        <f>SUM(N80:N83)</f>
        <v/>
      </c>
      <c r="O84" s="47">
        <f>SUM(O80:O83)</f>
        <v/>
      </c>
      <c r="P84" s="47">
        <f>SUM(P80:P83)</f>
        <v/>
      </c>
      <c r="Q84" s="47">
        <f>SUM(Q80:Q83)</f>
        <v/>
      </c>
      <c r="R84" s="46">
        <f>SUM(C84:Q84)</f>
        <v/>
      </c>
    </row>
    <row r="86">
      <c r="A86" s="7" t="inlineStr">
        <is>
          <t>Variable costs (cash out)</t>
        </is>
      </c>
      <c r="B86" s="8" t="n"/>
      <c r="C86" s="8" t="n"/>
      <c r="D86" s="8" t="n"/>
      <c r="E86" s="8" t="n"/>
      <c r="F86" s="8" t="n"/>
      <c r="G86" s="8" t="n"/>
      <c r="H86" s="8" t="n"/>
      <c r="I86" s="8" t="n"/>
      <c r="J86" s="8" t="n"/>
      <c r="K86" s="8" t="n"/>
      <c r="L86" s="8" t="n"/>
      <c r="M86" s="8" t="n"/>
      <c r="N86" s="8" t="n"/>
      <c r="O86" s="8" t="n"/>
      <c r="P86" s="8" t="n"/>
      <c r="Q86" s="8" t="n"/>
      <c r="R86" s="8" t="n"/>
    </row>
    <row r="87">
      <c r="A87" s="10" t="inlineStr">
        <is>
          <t>DTC shipping and packing</t>
        </is>
      </c>
      <c r="C87" s="45">
        <f>(C36+C37)*in_ShipOrder</f>
        <v/>
      </c>
      <c r="D87" s="45">
        <f>(D36+D37)*in_ShipOrder</f>
        <v/>
      </c>
      <c r="E87" s="45">
        <f>(E36+E37)*in_ShipOrder</f>
        <v/>
      </c>
      <c r="F87" s="45">
        <f>(F36+F37)*in_ShipOrder</f>
        <v/>
      </c>
      <c r="G87" s="45">
        <f>(G36+G37)*in_ShipOrder</f>
        <v/>
      </c>
      <c r="H87" s="45">
        <f>(H36+H37)*in_ShipOrder</f>
        <v/>
      </c>
      <c r="I87" s="45">
        <f>(I36+I37)*in_ShipOrder</f>
        <v/>
      </c>
      <c r="J87" s="45">
        <f>(J36+J37)*in_ShipOrder</f>
        <v/>
      </c>
      <c r="K87" s="45">
        <f>(K36+K37)*in_ShipOrder</f>
        <v/>
      </c>
      <c r="L87" s="45">
        <f>(L36+L37)*in_ShipOrder</f>
        <v/>
      </c>
      <c r="M87" s="45">
        <f>(M36+M37)*in_ShipOrder</f>
        <v/>
      </c>
      <c r="N87" s="45">
        <f>(N36+N37)*in_ShipOrder</f>
        <v/>
      </c>
      <c r="O87" s="45">
        <f>(O36+O37)*in_ShipOrder</f>
        <v/>
      </c>
      <c r="P87" s="45">
        <f>(P36+P37)*in_ShipOrder</f>
        <v/>
      </c>
      <c r="Q87" s="45">
        <f>(Q36+Q37)*in_ShipOrder</f>
        <v/>
      </c>
      <c r="R87" s="46">
        <f>SUM(C87:Q87)</f>
        <v/>
      </c>
    </row>
    <row r="88">
      <c r="A88" s="10" t="inlineStr">
        <is>
          <t>Freight to stores</t>
        </is>
      </c>
      <c r="C88" s="45">
        <f>C42*in_FreightPouch+C43*in_FreightStick</f>
        <v/>
      </c>
      <c r="D88" s="45">
        <f>D42*in_FreightPouch+D43*in_FreightStick</f>
        <v/>
      </c>
      <c r="E88" s="45">
        <f>E42*in_FreightPouch+E43*in_FreightStick</f>
        <v/>
      </c>
      <c r="F88" s="45">
        <f>F42*in_FreightPouch+F43*in_FreightStick</f>
        <v/>
      </c>
      <c r="G88" s="45">
        <f>G42*in_FreightPouch+G43*in_FreightStick</f>
        <v/>
      </c>
      <c r="H88" s="45">
        <f>H42*in_FreightPouch+H43*in_FreightStick</f>
        <v/>
      </c>
      <c r="I88" s="45">
        <f>I42*in_FreightPouch+I43*in_FreightStick</f>
        <v/>
      </c>
      <c r="J88" s="45">
        <f>J42*in_FreightPouch+J43*in_FreightStick</f>
        <v/>
      </c>
      <c r="K88" s="45">
        <f>K42*in_FreightPouch+K43*in_FreightStick</f>
        <v/>
      </c>
      <c r="L88" s="45">
        <f>L42*in_FreightPouch+L43*in_FreightStick</f>
        <v/>
      </c>
      <c r="M88" s="45">
        <f>M42*in_FreightPouch+M43*in_FreightStick</f>
        <v/>
      </c>
      <c r="N88" s="45">
        <f>N42*in_FreightPouch+N43*in_FreightStick</f>
        <v/>
      </c>
      <c r="O88" s="45">
        <f>O42*in_FreightPouch+O43*in_FreightStick</f>
        <v/>
      </c>
      <c r="P88" s="45">
        <f>P42*in_FreightPouch+P43*in_FreightStick</f>
        <v/>
      </c>
      <c r="Q88" s="45">
        <f>Q42*in_FreightPouch+Q43*in_FreightStick</f>
        <v/>
      </c>
      <c r="R88" s="46">
        <f>SUM(C88:Q88)</f>
        <v/>
      </c>
    </row>
    <row r="89">
      <c r="A89" s="10" t="inlineStr">
        <is>
          <t>Card fees</t>
        </is>
      </c>
      <c r="C89" s="45">
        <f>C74*in_CardPct+(C36+C37)*in_CardFixed</f>
        <v/>
      </c>
      <c r="D89" s="45">
        <f>D74*in_CardPct+(D36+D37)*in_CardFixed</f>
        <v/>
      </c>
      <c r="E89" s="45">
        <f>E74*in_CardPct+(E36+E37)*in_CardFixed</f>
        <v/>
      </c>
      <c r="F89" s="45">
        <f>F74*in_CardPct+(F36+F37)*in_CardFixed</f>
        <v/>
      </c>
      <c r="G89" s="45">
        <f>G74*in_CardPct+(G36+G37)*in_CardFixed</f>
        <v/>
      </c>
      <c r="H89" s="45">
        <f>H74*in_CardPct+(H36+H37)*in_CardFixed</f>
        <v/>
      </c>
      <c r="I89" s="45">
        <f>I74*in_CardPct+(I36+I37)*in_CardFixed</f>
        <v/>
      </c>
      <c r="J89" s="45">
        <f>J74*in_CardPct+(J36+J37)*in_CardFixed</f>
        <v/>
      </c>
      <c r="K89" s="45">
        <f>K74*in_CardPct+(K36+K37)*in_CardFixed</f>
        <v/>
      </c>
      <c r="L89" s="45">
        <f>L74*in_CardPct+(L36+L37)*in_CardFixed</f>
        <v/>
      </c>
      <c r="M89" s="45">
        <f>M74*in_CardPct+(M36+M37)*in_CardFixed</f>
        <v/>
      </c>
      <c r="N89" s="45">
        <f>N74*in_CardPct+(N36+N37)*in_CardFixed</f>
        <v/>
      </c>
      <c r="O89" s="45">
        <f>O74*in_CardPct+(O36+O37)*in_CardFixed</f>
        <v/>
      </c>
      <c r="P89" s="45">
        <f>P74*in_CardPct+(P36+P37)*in_CardFixed</f>
        <v/>
      </c>
      <c r="Q89" s="45">
        <f>Q74*in_CardPct+(Q36+Q37)*in_CardFixed</f>
        <v/>
      </c>
      <c r="R89" s="46">
        <f>SUM(C89:Q89)</f>
        <v/>
      </c>
    </row>
    <row r="90">
      <c r="A90" s="10" t="inlineStr">
        <is>
          <t>Founding offer free shakers</t>
        </is>
      </c>
      <c r="C90" s="45">
        <f>C27*in_ShakerCost</f>
        <v/>
      </c>
      <c r="D90" s="45">
        <f>D27*in_ShakerCost</f>
        <v/>
      </c>
      <c r="E90" s="45">
        <f>E27*in_ShakerCost</f>
        <v/>
      </c>
      <c r="F90" s="45">
        <f>F27*in_ShakerCost</f>
        <v/>
      </c>
      <c r="G90" s="45">
        <f>G27*in_ShakerCost</f>
        <v/>
      </c>
      <c r="H90" s="45">
        <f>H27*in_ShakerCost</f>
        <v/>
      </c>
      <c r="I90" s="45">
        <f>I27*in_ShakerCost</f>
        <v/>
      </c>
      <c r="J90" s="45">
        <f>J27*in_ShakerCost</f>
        <v/>
      </c>
      <c r="K90" s="45">
        <f>K27*in_ShakerCost</f>
        <v/>
      </c>
      <c r="L90" s="45">
        <f>L27*in_ShakerCost</f>
        <v/>
      </c>
      <c r="M90" s="45">
        <f>M27*in_ShakerCost</f>
        <v/>
      </c>
      <c r="N90" s="45">
        <f>N27*in_ShakerCost</f>
        <v/>
      </c>
      <c r="O90" s="45">
        <f>O27*in_ShakerCost</f>
        <v/>
      </c>
      <c r="P90" s="45">
        <f>P27*in_ShakerCost</f>
        <v/>
      </c>
      <c r="Q90" s="45">
        <f>Q27*in_ShakerCost</f>
        <v/>
      </c>
      <c r="R90" s="46">
        <f>SUM(C90:Q90)</f>
        <v/>
      </c>
    </row>
    <row r="91">
      <c r="A91" s="26" t="inlineStr">
        <is>
          <t>Total variable costs</t>
        </is>
      </c>
      <c r="C91" s="47">
        <f>SUM(C87:C90)</f>
        <v/>
      </c>
      <c r="D91" s="47">
        <f>SUM(D87:D90)</f>
        <v/>
      </c>
      <c r="E91" s="47">
        <f>SUM(E87:E90)</f>
        <v/>
      </c>
      <c r="F91" s="47">
        <f>SUM(F87:F90)</f>
        <v/>
      </c>
      <c r="G91" s="47">
        <f>SUM(G87:G90)</f>
        <v/>
      </c>
      <c r="H91" s="47">
        <f>SUM(H87:H90)</f>
        <v/>
      </c>
      <c r="I91" s="47">
        <f>SUM(I87:I90)</f>
        <v/>
      </c>
      <c r="J91" s="47">
        <f>SUM(J87:J90)</f>
        <v/>
      </c>
      <c r="K91" s="47">
        <f>SUM(K87:K90)</f>
        <v/>
      </c>
      <c r="L91" s="47">
        <f>SUM(L87:L90)</f>
        <v/>
      </c>
      <c r="M91" s="47">
        <f>SUM(M87:M90)</f>
        <v/>
      </c>
      <c r="N91" s="47">
        <f>SUM(N87:N90)</f>
        <v/>
      </c>
      <c r="O91" s="47">
        <f>SUM(O87:O90)</f>
        <v/>
      </c>
      <c r="P91" s="47">
        <f>SUM(P87:P90)</f>
        <v/>
      </c>
      <c r="Q91" s="47">
        <f>SUM(Q87:Q90)</f>
        <v/>
      </c>
      <c r="R91" s="46">
        <f>SUM(C91:Q91)</f>
        <v/>
      </c>
    </row>
    <row r="93">
      <c r="A93" s="7" t="inlineStr">
        <is>
          <t>Marketing (cash out)</t>
        </is>
      </c>
      <c r="B93" s="8" t="n"/>
      <c r="C93" s="8" t="n"/>
      <c r="D93" s="8" t="n"/>
      <c r="E93" s="8" t="n"/>
      <c r="F93" s="8" t="n"/>
      <c r="G93" s="8" t="n"/>
      <c r="H93" s="8" t="n"/>
      <c r="I93" s="8" t="n"/>
      <c r="J93" s="8" t="n"/>
      <c r="K93" s="8" t="n"/>
      <c r="L93" s="8" t="n"/>
      <c r="M93" s="8" t="n"/>
      <c r="N93" s="8" t="n"/>
      <c r="O93" s="8" t="n"/>
      <c r="P93" s="8" t="n"/>
      <c r="Q93" s="8" t="n"/>
      <c r="R93" s="8" t="n"/>
    </row>
    <row r="94">
      <c r="A94" s="10" t="inlineStr">
        <is>
          <t>Paid acquisition (paid new customers x CAC)</t>
        </is>
      </c>
      <c r="C94" s="45">
        <f>C29*in_CAC</f>
        <v/>
      </c>
      <c r="D94" s="45">
        <f>D29*in_CAC</f>
        <v/>
      </c>
      <c r="E94" s="45">
        <f>E29*in_CAC</f>
        <v/>
      </c>
      <c r="F94" s="45">
        <f>F29*in_CAC</f>
        <v/>
      </c>
      <c r="G94" s="45">
        <f>G29*in_CAC</f>
        <v/>
      </c>
      <c r="H94" s="45">
        <f>H29*in_CAC</f>
        <v/>
      </c>
      <c r="I94" s="45">
        <f>I29*in_CAC</f>
        <v/>
      </c>
      <c r="J94" s="45">
        <f>J29*in_CAC</f>
        <v/>
      </c>
      <c r="K94" s="45">
        <f>K29*in_CAC</f>
        <v/>
      </c>
      <c r="L94" s="45">
        <f>L29*in_CAC</f>
        <v/>
      </c>
      <c r="M94" s="45">
        <f>M29*in_CAC</f>
        <v/>
      </c>
      <c r="N94" s="45">
        <f>N29*in_CAC</f>
        <v/>
      </c>
      <c r="O94" s="45">
        <f>O29*in_CAC</f>
        <v/>
      </c>
      <c r="P94" s="45">
        <f>P29*in_CAC</f>
        <v/>
      </c>
      <c r="Q94" s="45">
        <f>Q29*in_CAC</f>
        <v/>
      </c>
      <c r="R94" s="46">
        <f>SUM(C94:Q94)</f>
        <v/>
      </c>
    </row>
    <row r="95">
      <c r="A95" s="10" t="inlineStr">
        <is>
          <t>Sampling and content</t>
        </is>
      </c>
      <c r="C95" s="45">
        <f>IF(C$23&gt;=DATE(YEAR(in_SampleStart),MONTH(in_SampleStart),1),in_SampleBudget,0)</f>
        <v/>
      </c>
      <c r="D95" s="45">
        <f>IF(D$23&gt;=DATE(YEAR(in_SampleStart),MONTH(in_SampleStart),1),in_SampleBudget,0)</f>
        <v/>
      </c>
      <c r="E95" s="45">
        <f>IF(E$23&gt;=DATE(YEAR(in_SampleStart),MONTH(in_SampleStart),1),in_SampleBudget,0)</f>
        <v/>
      </c>
      <c r="F95" s="45">
        <f>IF(F$23&gt;=DATE(YEAR(in_SampleStart),MONTH(in_SampleStart),1),in_SampleBudget,0)</f>
        <v/>
      </c>
      <c r="G95" s="45">
        <f>IF(G$23&gt;=DATE(YEAR(in_SampleStart),MONTH(in_SampleStart),1),in_SampleBudget,0)</f>
        <v/>
      </c>
      <c r="H95" s="45">
        <f>IF(H$23&gt;=DATE(YEAR(in_SampleStart),MONTH(in_SampleStart),1),in_SampleBudget,0)</f>
        <v/>
      </c>
      <c r="I95" s="45">
        <f>IF(I$23&gt;=DATE(YEAR(in_SampleStart),MONTH(in_SampleStart),1),in_SampleBudget,0)</f>
        <v/>
      </c>
      <c r="J95" s="45">
        <f>IF(J$23&gt;=DATE(YEAR(in_SampleStart),MONTH(in_SampleStart),1),in_SampleBudget,0)</f>
        <v/>
      </c>
      <c r="K95" s="45">
        <f>IF(K$23&gt;=DATE(YEAR(in_SampleStart),MONTH(in_SampleStart),1),in_SampleBudget,0)</f>
        <v/>
      </c>
      <c r="L95" s="45">
        <f>IF(L$23&gt;=DATE(YEAR(in_SampleStart),MONTH(in_SampleStart),1),in_SampleBudget,0)</f>
        <v/>
      </c>
      <c r="M95" s="45">
        <f>IF(M$23&gt;=DATE(YEAR(in_SampleStart),MONTH(in_SampleStart),1),in_SampleBudget,0)</f>
        <v/>
      </c>
      <c r="N95" s="45">
        <f>IF(N$23&gt;=DATE(YEAR(in_SampleStart),MONTH(in_SampleStart),1),in_SampleBudget,0)</f>
        <v/>
      </c>
      <c r="O95" s="45">
        <f>IF(O$23&gt;=DATE(YEAR(in_SampleStart),MONTH(in_SampleStart),1),in_SampleBudget,0)</f>
        <v/>
      </c>
      <c r="P95" s="45">
        <f>IF(P$23&gt;=DATE(YEAR(in_SampleStart),MONTH(in_SampleStart),1),in_SampleBudget,0)</f>
        <v/>
      </c>
      <c r="Q95" s="45">
        <f>IF(Q$23&gt;=DATE(YEAR(in_SampleStart),MONTH(in_SampleStart),1),in_SampleBudget,0)</f>
        <v/>
      </c>
      <c r="R95" s="46">
        <f>SUM(C95:Q95)</f>
        <v/>
      </c>
    </row>
    <row r="96">
      <c r="A96" s="26" t="inlineStr">
        <is>
          <t>Total marketing</t>
        </is>
      </c>
      <c r="C96" s="47">
        <f>C94+C95</f>
        <v/>
      </c>
      <c r="D96" s="47">
        <f>D94+D95</f>
        <v/>
      </c>
      <c r="E96" s="47">
        <f>E94+E95</f>
        <v/>
      </c>
      <c r="F96" s="47">
        <f>F94+F95</f>
        <v/>
      </c>
      <c r="G96" s="47">
        <f>G94+G95</f>
        <v/>
      </c>
      <c r="H96" s="47">
        <f>H94+H95</f>
        <v/>
      </c>
      <c r="I96" s="47">
        <f>I94+I95</f>
        <v/>
      </c>
      <c r="J96" s="47">
        <f>J94+J95</f>
        <v/>
      </c>
      <c r="K96" s="47">
        <f>K94+K95</f>
        <v/>
      </c>
      <c r="L96" s="47">
        <f>L94+L95</f>
        <v/>
      </c>
      <c r="M96" s="47">
        <f>M94+M95</f>
        <v/>
      </c>
      <c r="N96" s="47">
        <f>N94+N95</f>
        <v/>
      </c>
      <c r="O96" s="47">
        <f>O94+O95</f>
        <v/>
      </c>
      <c r="P96" s="47">
        <f>P94+P95</f>
        <v/>
      </c>
      <c r="Q96" s="47">
        <f>Q94+Q95</f>
        <v/>
      </c>
      <c r="R96" s="46">
        <f>SUM(C96:Q96)</f>
        <v/>
      </c>
    </row>
    <row r="98">
      <c r="A98" s="7" t="inlineStr">
        <is>
          <t>Fixed costs (cash out)</t>
        </is>
      </c>
      <c r="B98" s="8" t="n"/>
      <c r="C98" s="8" t="n"/>
      <c r="D98" s="8" t="n"/>
      <c r="E98" s="8" t="n"/>
      <c r="F98" s="8" t="n"/>
      <c r="G98" s="8" t="n"/>
      <c r="H98" s="8" t="n"/>
      <c r="I98" s="8" t="n"/>
      <c r="J98" s="8" t="n"/>
      <c r="K98" s="8" t="n"/>
      <c r="L98" s="8" t="n"/>
      <c r="M98" s="8" t="n"/>
      <c r="N98" s="8" t="n"/>
      <c r="O98" s="8" t="n"/>
      <c r="P98" s="8" t="n"/>
      <c r="Q98" s="8" t="n"/>
      <c r="R98" s="8" t="n"/>
    </row>
    <row r="99">
      <c r="A99" s="10" t="inlineStr">
        <is>
          <t>Shopify Basic</t>
        </is>
      </c>
      <c r="C99" s="45">
        <f>IF(C$23&gt;=DATE(YEAR(in_FxShopify_Start),MONTH(in_FxShopify_Start),1),in_FxShopify,0)</f>
        <v/>
      </c>
      <c r="D99" s="45">
        <f>IF(D$23&gt;=DATE(YEAR(in_FxShopify_Start),MONTH(in_FxShopify_Start),1),in_FxShopify,0)</f>
        <v/>
      </c>
      <c r="E99" s="45">
        <f>IF(E$23&gt;=DATE(YEAR(in_FxShopify_Start),MONTH(in_FxShopify_Start),1),in_FxShopify,0)</f>
        <v/>
      </c>
      <c r="F99" s="45">
        <f>IF(F$23&gt;=DATE(YEAR(in_FxShopify_Start),MONTH(in_FxShopify_Start),1),in_FxShopify,0)</f>
        <v/>
      </c>
      <c r="G99" s="45">
        <f>IF(G$23&gt;=DATE(YEAR(in_FxShopify_Start),MONTH(in_FxShopify_Start),1),in_FxShopify,0)</f>
        <v/>
      </c>
      <c r="H99" s="45">
        <f>IF(H$23&gt;=DATE(YEAR(in_FxShopify_Start),MONTH(in_FxShopify_Start),1),in_FxShopify,0)</f>
        <v/>
      </c>
      <c r="I99" s="45">
        <f>IF(I$23&gt;=DATE(YEAR(in_FxShopify_Start),MONTH(in_FxShopify_Start),1),in_FxShopify,0)</f>
        <v/>
      </c>
      <c r="J99" s="45">
        <f>IF(J$23&gt;=DATE(YEAR(in_FxShopify_Start),MONTH(in_FxShopify_Start),1),in_FxShopify,0)</f>
        <v/>
      </c>
      <c r="K99" s="45">
        <f>IF(K$23&gt;=DATE(YEAR(in_FxShopify_Start),MONTH(in_FxShopify_Start),1),in_FxShopify,0)</f>
        <v/>
      </c>
      <c r="L99" s="45">
        <f>IF(L$23&gt;=DATE(YEAR(in_FxShopify_Start),MONTH(in_FxShopify_Start),1),in_FxShopify,0)</f>
        <v/>
      </c>
      <c r="M99" s="45">
        <f>IF(M$23&gt;=DATE(YEAR(in_FxShopify_Start),MONTH(in_FxShopify_Start),1),in_FxShopify,0)</f>
        <v/>
      </c>
      <c r="N99" s="45">
        <f>IF(N$23&gt;=DATE(YEAR(in_FxShopify_Start),MONTH(in_FxShopify_Start),1),in_FxShopify,0)</f>
        <v/>
      </c>
      <c r="O99" s="45">
        <f>IF(O$23&gt;=DATE(YEAR(in_FxShopify_Start),MONTH(in_FxShopify_Start),1),in_FxShopify,0)</f>
        <v/>
      </c>
      <c r="P99" s="45">
        <f>IF(P$23&gt;=DATE(YEAR(in_FxShopify_Start),MONTH(in_FxShopify_Start),1),in_FxShopify,0)</f>
        <v/>
      </c>
      <c r="Q99" s="45">
        <f>IF(Q$23&gt;=DATE(YEAR(in_FxShopify_Start),MONTH(in_FxShopify_Start),1),in_FxShopify,0)</f>
        <v/>
      </c>
      <c r="R99" s="46">
        <f>SUM(C99:Q99)</f>
        <v/>
      </c>
    </row>
    <row r="100">
      <c r="A100" s="10" t="inlineStr">
        <is>
          <t>Klaviyo email</t>
        </is>
      </c>
      <c r="C100" s="45">
        <f>IF(C$23&gt;=DATE(YEAR(in_FxKlaviyo_Start),MONTH(in_FxKlaviyo_Start),1),in_FxKlaviyo,0)</f>
        <v/>
      </c>
      <c r="D100" s="45">
        <f>IF(D$23&gt;=DATE(YEAR(in_FxKlaviyo_Start),MONTH(in_FxKlaviyo_Start),1),in_FxKlaviyo,0)</f>
        <v/>
      </c>
      <c r="E100" s="45">
        <f>IF(E$23&gt;=DATE(YEAR(in_FxKlaviyo_Start),MONTH(in_FxKlaviyo_Start),1),in_FxKlaviyo,0)</f>
        <v/>
      </c>
      <c r="F100" s="45">
        <f>IF(F$23&gt;=DATE(YEAR(in_FxKlaviyo_Start),MONTH(in_FxKlaviyo_Start),1),in_FxKlaviyo,0)</f>
        <v/>
      </c>
      <c r="G100" s="45">
        <f>IF(G$23&gt;=DATE(YEAR(in_FxKlaviyo_Start),MONTH(in_FxKlaviyo_Start),1),in_FxKlaviyo,0)</f>
        <v/>
      </c>
      <c r="H100" s="45">
        <f>IF(H$23&gt;=DATE(YEAR(in_FxKlaviyo_Start),MONTH(in_FxKlaviyo_Start),1),in_FxKlaviyo,0)</f>
        <v/>
      </c>
      <c r="I100" s="45">
        <f>IF(I$23&gt;=DATE(YEAR(in_FxKlaviyo_Start),MONTH(in_FxKlaviyo_Start),1),in_FxKlaviyo,0)</f>
        <v/>
      </c>
      <c r="J100" s="45">
        <f>IF(J$23&gt;=DATE(YEAR(in_FxKlaviyo_Start),MONTH(in_FxKlaviyo_Start),1),in_FxKlaviyo,0)</f>
        <v/>
      </c>
      <c r="K100" s="45">
        <f>IF(K$23&gt;=DATE(YEAR(in_FxKlaviyo_Start),MONTH(in_FxKlaviyo_Start),1),in_FxKlaviyo,0)</f>
        <v/>
      </c>
      <c r="L100" s="45">
        <f>IF(L$23&gt;=DATE(YEAR(in_FxKlaviyo_Start),MONTH(in_FxKlaviyo_Start),1),in_FxKlaviyo,0)</f>
        <v/>
      </c>
      <c r="M100" s="45">
        <f>IF(M$23&gt;=DATE(YEAR(in_FxKlaviyo_Start),MONTH(in_FxKlaviyo_Start),1),in_FxKlaviyo,0)</f>
        <v/>
      </c>
      <c r="N100" s="45">
        <f>IF(N$23&gt;=DATE(YEAR(in_FxKlaviyo_Start),MONTH(in_FxKlaviyo_Start),1),in_FxKlaviyo,0)</f>
        <v/>
      </c>
      <c r="O100" s="45">
        <f>IF(O$23&gt;=DATE(YEAR(in_FxKlaviyo_Start),MONTH(in_FxKlaviyo_Start),1),in_FxKlaviyo,0)</f>
        <v/>
      </c>
      <c r="P100" s="45">
        <f>IF(P$23&gt;=DATE(YEAR(in_FxKlaviyo_Start),MONTH(in_FxKlaviyo_Start),1),in_FxKlaviyo,0)</f>
        <v/>
      </c>
      <c r="Q100" s="45">
        <f>IF(Q$23&gt;=DATE(YEAR(in_FxKlaviyo_Start),MONTH(in_FxKlaviyo_Start),1),in_FxKlaviyo,0)</f>
        <v/>
      </c>
      <c r="R100" s="46">
        <f>SUM(C100:Q100)</f>
        <v/>
      </c>
    </row>
    <row r="101">
      <c r="A101" s="10" t="inlineStr">
        <is>
          <t>Product liability insurance</t>
        </is>
      </c>
      <c r="C101" s="45">
        <f>IF(C$23&gt;=DATE(YEAR(in_FxInsurance_Start),MONTH(in_FxInsurance_Start),1),in_FxInsurance,0)</f>
        <v/>
      </c>
      <c r="D101" s="45">
        <f>IF(D$23&gt;=DATE(YEAR(in_FxInsurance_Start),MONTH(in_FxInsurance_Start),1),in_FxInsurance,0)</f>
        <v/>
      </c>
      <c r="E101" s="45">
        <f>IF(E$23&gt;=DATE(YEAR(in_FxInsurance_Start),MONTH(in_FxInsurance_Start),1),in_FxInsurance,0)</f>
        <v/>
      </c>
      <c r="F101" s="45">
        <f>IF(F$23&gt;=DATE(YEAR(in_FxInsurance_Start),MONTH(in_FxInsurance_Start),1),in_FxInsurance,0)</f>
        <v/>
      </c>
      <c r="G101" s="45">
        <f>IF(G$23&gt;=DATE(YEAR(in_FxInsurance_Start),MONTH(in_FxInsurance_Start),1),in_FxInsurance,0)</f>
        <v/>
      </c>
      <c r="H101" s="45">
        <f>IF(H$23&gt;=DATE(YEAR(in_FxInsurance_Start),MONTH(in_FxInsurance_Start),1),in_FxInsurance,0)</f>
        <v/>
      </c>
      <c r="I101" s="45">
        <f>IF(I$23&gt;=DATE(YEAR(in_FxInsurance_Start),MONTH(in_FxInsurance_Start),1),in_FxInsurance,0)</f>
        <v/>
      </c>
      <c r="J101" s="45">
        <f>IF(J$23&gt;=DATE(YEAR(in_FxInsurance_Start),MONTH(in_FxInsurance_Start),1),in_FxInsurance,0)</f>
        <v/>
      </c>
      <c r="K101" s="45">
        <f>IF(K$23&gt;=DATE(YEAR(in_FxInsurance_Start),MONTH(in_FxInsurance_Start),1),in_FxInsurance,0)</f>
        <v/>
      </c>
      <c r="L101" s="45">
        <f>IF(L$23&gt;=DATE(YEAR(in_FxInsurance_Start),MONTH(in_FxInsurance_Start),1),in_FxInsurance,0)</f>
        <v/>
      </c>
      <c r="M101" s="45">
        <f>IF(M$23&gt;=DATE(YEAR(in_FxInsurance_Start),MONTH(in_FxInsurance_Start),1),in_FxInsurance,0)</f>
        <v/>
      </c>
      <c r="N101" s="45">
        <f>IF(N$23&gt;=DATE(YEAR(in_FxInsurance_Start),MONTH(in_FxInsurance_Start),1),in_FxInsurance,0)</f>
        <v/>
      </c>
      <c r="O101" s="45">
        <f>IF(O$23&gt;=DATE(YEAR(in_FxInsurance_Start),MONTH(in_FxInsurance_Start),1),in_FxInsurance,0)</f>
        <v/>
      </c>
      <c r="P101" s="45">
        <f>IF(P$23&gt;=DATE(YEAR(in_FxInsurance_Start),MONTH(in_FxInsurance_Start),1),in_FxInsurance,0)</f>
        <v/>
      </c>
      <c r="Q101" s="45">
        <f>IF(Q$23&gt;=DATE(YEAR(in_FxInsurance_Start),MONTH(in_FxInsurance_Start),1),in_FxInsurance,0)</f>
        <v/>
      </c>
      <c r="R101" s="46">
        <f>SUM(C101:Q101)</f>
        <v/>
      </c>
    </row>
    <row r="102">
      <c r="A102" s="10" t="inlineStr">
        <is>
          <t>Other software (SMS credits, apps)</t>
        </is>
      </c>
      <c r="C102" s="45">
        <f>IF(C$23&gt;=DATE(YEAR(in_FxSoftware_Start),MONTH(in_FxSoftware_Start),1),in_FxSoftware,0)</f>
        <v/>
      </c>
      <c r="D102" s="45">
        <f>IF(D$23&gt;=DATE(YEAR(in_FxSoftware_Start),MONTH(in_FxSoftware_Start),1),in_FxSoftware,0)</f>
        <v/>
      </c>
      <c r="E102" s="45">
        <f>IF(E$23&gt;=DATE(YEAR(in_FxSoftware_Start),MONTH(in_FxSoftware_Start),1),in_FxSoftware,0)</f>
        <v/>
      </c>
      <c r="F102" s="45">
        <f>IF(F$23&gt;=DATE(YEAR(in_FxSoftware_Start),MONTH(in_FxSoftware_Start),1),in_FxSoftware,0)</f>
        <v/>
      </c>
      <c r="G102" s="45">
        <f>IF(G$23&gt;=DATE(YEAR(in_FxSoftware_Start),MONTH(in_FxSoftware_Start),1),in_FxSoftware,0)</f>
        <v/>
      </c>
      <c r="H102" s="45">
        <f>IF(H$23&gt;=DATE(YEAR(in_FxSoftware_Start),MONTH(in_FxSoftware_Start),1),in_FxSoftware,0)</f>
        <v/>
      </c>
      <c r="I102" s="45">
        <f>IF(I$23&gt;=DATE(YEAR(in_FxSoftware_Start),MONTH(in_FxSoftware_Start),1),in_FxSoftware,0)</f>
        <v/>
      </c>
      <c r="J102" s="45">
        <f>IF(J$23&gt;=DATE(YEAR(in_FxSoftware_Start),MONTH(in_FxSoftware_Start),1),in_FxSoftware,0)</f>
        <v/>
      </c>
      <c r="K102" s="45">
        <f>IF(K$23&gt;=DATE(YEAR(in_FxSoftware_Start),MONTH(in_FxSoftware_Start),1),in_FxSoftware,0)</f>
        <v/>
      </c>
      <c r="L102" s="45">
        <f>IF(L$23&gt;=DATE(YEAR(in_FxSoftware_Start),MONTH(in_FxSoftware_Start),1),in_FxSoftware,0)</f>
        <v/>
      </c>
      <c r="M102" s="45">
        <f>IF(M$23&gt;=DATE(YEAR(in_FxSoftware_Start),MONTH(in_FxSoftware_Start),1),in_FxSoftware,0)</f>
        <v/>
      </c>
      <c r="N102" s="45">
        <f>IF(N$23&gt;=DATE(YEAR(in_FxSoftware_Start),MONTH(in_FxSoftware_Start),1),in_FxSoftware,0)</f>
        <v/>
      </c>
      <c r="O102" s="45">
        <f>IF(O$23&gt;=DATE(YEAR(in_FxSoftware_Start),MONTH(in_FxSoftware_Start),1),in_FxSoftware,0)</f>
        <v/>
      </c>
      <c r="P102" s="45">
        <f>IF(P$23&gt;=DATE(YEAR(in_FxSoftware_Start),MONTH(in_FxSoftware_Start),1),in_FxSoftware,0)</f>
        <v/>
      </c>
      <c r="Q102" s="45">
        <f>IF(Q$23&gt;=DATE(YEAR(in_FxSoftware_Start),MONTH(in_FxSoftware_Start),1),in_FxSoftware,0)</f>
        <v/>
      </c>
      <c r="R102" s="46">
        <f>SUM(C102:Q102)</f>
        <v/>
      </c>
    </row>
    <row r="103">
      <c r="A103" s="10" t="inlineStr">
        <is>
          <t>Bookkeeping</t>
        </is>
      </c>
      <c r="C103" s="45">
        <f>IF(C$23&gt;=DATE(YEAR(in_FxBooks_Start),MONTH(in_FxBooks_Start),1),in_FxBooks,0)</f>
        <v/>
      </c>
      <c r="D103" s="45">
        <f>IF(D$23&gt;=DATE(YEAR(in_FxBooks_Start),MONTH(in_FxBooks_Start),1),in_FxBooks,0)</f>
        <v/>
      </c>
      <c r="E103" s="45">
        <f>IF(E$23&gt;=DATE(YEAR(in_FxBooks_Start),MONTH(in_FxBooks_Start),1),in_FxBooks,0)</f>
        <v/>
      </c>
      <c r="F103" s="45">
        <f>IF(F$23&gt;=DATE(YEAR(in_FxBooks_Start),MONTH(in_FxBooks_Start),1),in_FxBooks,0)</f>
        <v/>
      </c>
      <c r="G103" s="45">
        <f>IF(G$23&gt;=DATE(YEAR(in_FxBooks_Start),MONTH(in_FxBooks_Start),1),in_FxBooks,0)</f>
        <v/>
      </c>
      <c r="H103" s="45">
        <f>IF(H$23&gt;=DATE(YEAR(in_FxBooks_Start),MONTH(in_FxBooks_Start),1),in_FxBooks,0)</f>
        <v/>
      </c>
      <c r="I103" s="45">
        <f>IF(I$23&gt;=DATE(YEAR(in_FxBooks_Start),MONTH(in_FxBooks_Start),1),in_FxBooks,0)</f>
        <v/>
      </c>
      <c r="J103" s="45">
        <f>IF(J$23&gt;=DATE(YEAR(in_FxBooks_Start),MONTH(in_FxBooks_Start),1),in_FxBooks,0)</f>
        <v/>
      </c>
      <c r="K103" s="45">
        <f>IF(K$23&gt;=DATE(YEAR(in_FxBooks_Start),MONTH(in_FxBooks_Start),1),in_FxBooks,0)</f>
        <v/>
      </c>
      <c r="L103" s="45">
        <f>IF(L$23&gt;=DATE(YEAR(in_FxBooks_Start),MONTH(in_FxBooks_Start),1),in_FxBooks,0)</f>
        <v/>
      </c>
      <c r="M103" s="45">
        <f>IF(M$23&gt;=DATE(YEAR(in_FxBooks_Start),MONTH(in_FxBooks_Start),1),in_FxBooks,0)</f>
        <v/>
      </c>
      <c r="N103" s="45">
        <f>IF(N$23&gt;=DATE(YEAR(in_FxBooks_Start),MONTH(in_FxBooks_Start),1),in_FxBooks,0)</f>
        <v/>
      </c>
      <c r="O103" s="45">
        <f>IF(O$23&gt;=DATE(YEAR(in_FxBooks_Start),MONTH(in_FxBooks_Start),1),in_FxBooks,0)</f>
        <v/>
      </c>
      <c r="P103" s="45">
        <f>IF(P$23&gt;=DATE(YEAR(in_FxBooks_Start),MONTH(in_FxBooks_Start),1),in_FxBooks,0)</f>
        <v/>
      </c>
      <c r="Q103" s="45">
        <f>IF(Q$23&gt;=DATE(YEAR(in_FxBooks_Start),MONTH(in_FxBooks_Start),1),in_FxBooks,0)</f>
        <v/>
      </c>
      <c r="R103" s="46">
        <f>SUM(C103:Q103)</f>
        <v/>
      </c>
    </row>
    <row r="104">
      <c r="A104" s="10" t="inlineStr">
        <is>
          <t>Amazon Professional plan</t>
        </is>
      </c>
      <c r="C104" s="45">
        <f>IF(C$23&gt;=DATE(YEAR(in_FxAmazon_Start),MONTH(in_FxAmazon_Start),1),in_FxAmazon,0)</f>
        <v/>
      </c>
      <c r="D104" s="45">
        <f>IF(D$23&gt;=DATE(YEAR(in_FxAmazon_Start),MONTH(in_FxAmazon_Start),1),in_FxAmazon,0)</f>
        <v/>
      </c>
      <c r="E104" s="45">
        <f>IF(E$23&gt;=DATE(YEAR(in_FxAmazon_Start),MONTH(in_FxAmazon_Start),1),in_FxAmazon,0)</f>
        <v/>
      </c>
      <c r="F104" s="45">
        <f>IF(F$23&gt;=DATE(YEAR(in_FxAmazon_Start),MONTH(in_FxAmazon_Start),1),in_FxAmazon,0)</f>
        <v/>
      </c>
      <c r="G104" s="45">
        <f>IF(G$23&gt;=DATE(YEAR(in_FxAmazon_Start),MONTH(in_FxAmazon_Start),1),in_FxAmazon,0)</f>
        <v/>
      </c>
      <c r="H104" s="45">
        <f>IF(H$23&gt;=DATE(YEAR(in_FxAmazon_Start),MONTH(in_FxAmazon_Start),1),in_FxAmazon,0)</f>
        <v/>
      </c>
      <c r="I104" s="45">
        <f>IF(I$23&gt;=DATE(YEAR(in_FxAmazon_Start),MONTH(in_FxAmazon_Start),1),in_FxAmazon,0)</f>
        <v/>
      </c>
      <c r="J104" s="45">
        <f>IF(J$23&gt;=DATE(YEAR(in_FxAmazon_Start),MONTH(in_FxAmazon_Start),1),in_FxAmazon,0)</f>
        <v/>
      </c>
      <c r="K104" s="45">
        <f>IF(K$23&gt;=DATE(YEAR(in_FxAmazon_Start),MONTH(in_FxAmazon_Start),1),in_FxAmazon,0)</f>
        <v/>
      </c>
      <c r="L104" s="45">
        <f>IF(L$23&gt;=DATE(YEAR(in_FxAmazon_Start),MONTH(in_FxAmazon_Start),1),in_FxAmazon,0)</f>
        <v/>
      </c>
      <c r="M104" s="45">
        <f>IF(M$23&gt;=DATE(YEAR(in_FxAmazon_Start),MONTH(in_FxAmazon_Start),1),in_FxAmazon,0)</f>
        <v/>
      </c>
      <c r="N104" s="45">
        <f>IF(N$23&gt;=DATE(YEAR(in_FxAmazon_Start),MONTH(in_FxAmazon_Start),1),in_FxAmazon,0)</f>
        <v/>
      </c>
      <c r="O104" s="45">
        <f>IF(O$23&gt;=DATE(YEAR(in_FxAmazon_Start),MONTH(in_FxAmazon_Start),1),in_FxAmazon,0)</f>
        <v/>
      </c>
      <c r="P104" s="45">
        <f>IF(P$23&gt;=DATE(YEAR(in_FxAmazon_Start),MONTH(in_FxAmazon_Start),1),in_FxAmazon,0)</f>
        <v/>
      </c>
      <c r="Q104" s="45">
        <f>IF(Q$23&gt;=DATE(YEAR(in_FxAmazon_Start),MONTH(in_FxAmazon_Start),1),in_FxAmazon,0)</f>
        <v/>
      </c>
      <c r="R104" s="46">
        <f>SUM(C104:Q104)</f>
        <v/>
      </c>
    </row>
    <row r="105">
      <c r="A105" s="26" t="inlineStr">
        <is>
          <t>Total fixed costs</t>
        </is>
      </c>
      <c r="C105" s="47">
        <f>SUM(C99:C104)</f>
        <v/>
      </c>
      <c r="D105" s="47">
        <f>SUM(D99:D104)</f>
        <v/>
      </c>
      <c r="E105" s="47">
        <f>SUM(E99:E104)</f>
        <v/>
      </c>
      <c r="F105" s="47">
        <f>SUM(F99:F104)</f>
        <v/>
      </c>
      <c r="G105" s="47">
        <f>SUM(G99:G104)</f>
        <v/>
      </c>
      <c r="H105" s="47">
        <f>SUM(H99:H104)</f>
        <v/>
      </c>
      <c r="I105" s="47">
        <f>SUM(I99:I104)</f>
        <v/>
      </c>
      <c r="J105" s="47">
        <f>SUM(J99:J104)</f>
        <v/>
      </c>
      <c r="K105" s="47">
        <f>SUM(K99:K104)</f>
        <v/>
      </c>
      <c r="L105" s="47">
        <f>SUM(L99:L104)</f>
        <v/>
      </c>
      <c r="M105" s="47">
        <f>SUM(M99:M104)</f>
        <v/>
      </c>
      <c r="N105" s="47">
        <f>SUM(N99:N104)</f>
        <v/>
      </c>
      <c r="O105" s="47">
        <f>SUM(O99:O104)</f>
        <v/>
      </c>
      <c r="P105" s="47">
        <f>SUM(P99:P104)</f>
        <v/>
      </c>
      <c r="Q105" s="47">
        <f>SUM(Q99:Q104)</f>
        <v/>
      </c>
      <c r="R105" s="46">
        <f>SUM(C105:Q105)</f>
        <v/>
      </c>
    </row>
    <row r="107">
      <c r="A107" s="7" t="inlineStr">
        <is>
          <t>One-time launch costs (cash out)</t>
        </is>
      </c>
      <c r="B107" s="8" t="n"/>
      <c r="C107" s="8" t="n"/>
      <c r="D107" s="8" t="n"/>
      <c r="E107" s="8" t="n"/>
      <c r="F107" s="8" t="n"/>
      <c r="G107" s="8" t="n"/>
      <c r="H107" s="8" t="n"/>
      <c r="I107" s="8" t="n"/>
      <c r="J107" s="8" t="n"/>
      <c r="K107" s="8" t="n"/>
      <c r="L107" s="8" t="n"/>
      <c r="M107" s="8" t="n"/>
      <c r="N107" s="8" t="n"/>
      <c r="O107" s="8" t="n"/>
      <c r="P107" s="8" t="n"/>
      <c r="Q107" s="8" t="n"/>
      <c r="R107" s="8" t="n"/>
    </row>
    <row r="108">
      <c r="A108" s="10" t="inlineStr">
        <is>
          <t>Company, trademark, lawyer review, insurance setup</t>
        </is>
      </c>
      <c r="C108" s="45">
        <f>IF(EOMONTH(in_OtCompany_D,0)=EOMONTH(C$23,0),IF($B$3="Lean",in_OtCompany_L,in_OtCompany_S),0)</f>
        <v/>
      </c>
      <c r="D108" s="45">
        <f>IF(EOMONTH(in_OtCompany_D,0)=EOMONTH(D$23,0),IF($B$3="Lean",in_OtCompany_L,in_OtCompany_S),0)</f>
        <v/>
      </c>
      <c r="E108" s="45">
        <f>IF(EOMONTH(in_OtCompany_D,0)=EOMONTH(E$23,0),IF($B$3="Lean",in_OtCompany_L,in_OtCompany_S),0)</f>
        <v/>
      </c>
      <c r="F108" s="45">
        <f>IF(EOMONTH(in_OtCompany_D,0)=EOMONTH(F$23,0),IF($B$3="Lean",in_OtCompany_L,in_OtCompany_S),0)</f>
        <v/>
      </c>
      <c r="G108" s="45">
        <f>IF(EOMONTH(in_OtCompany_D,0)=EOMONTH(G$23,0),IF($B$3="Lean",in_OtCompany_L,in_OtCompany_S),0)</f>
        <v/>
      </c>
      <c r="H108" s="45">
        <f>IF(EOMONTH(in_OtCompany_D,0)=EOMONTH(H$23,0),IF($B$3="Lean",in_OtCompany_L,in_OtCompany_S),0)</f>
        <v/>
      </c>
      <c r="I108" s="45">
        <f>IF(EOMONTH(in_OtCompany_D,0)=EOMONTH(I$23,0),IF($B$3="Lean",in_OtCompany_L,in_OtCompany_S),0)</f>
        <v/>
      </c>
      <c r="J108" s="45">
        <f>IF(EOMONTH(in_OtCompany_D,0)=EOMONTH(J$23,0),IF($B$3="Lean",in_OtCompany_L,in_OtCompany_S),0)</f>
        <v/>
      </c>
      <c r="K108" s="45">
        <f>IF(EOMONTH(in_OtCompany_D,0)=EOMONTH(K$23,0),IF($B$3="Lean",in_OtCompany_L,in_OtCompany_S),0)</f>
        <v/>
      </c>
      <c r="L108" s="45">
        <f>IF(EOMONTH(in_OtCompany_D,0)=EOMONTH(L$23,0),IF($B$3="Lean",in_OtCompany_L,in_OtCompany_S),0)</f>
        <v/>
      </c>
      <c r="M108" s="45">
        <f>IF(EOMONTH(in_OtCompany_D,0)=EOMONTH(M$23,0),IF($B$3="Lean",in_OtCompany_L,in_OtCompany_S),0)</f>
        <v/>
      </c>
      <c r="N108" s="45">
        <f>IF(EOMONTH(in_OtCompany_D,0)=EOMONTH(N$23,0),IF($B$3="Lean",in_OtCompany_L,in_OtCompany_S),0)</f>
        <v/>
      </c>
      <c r="O108" s="45">
        <f>IF(EOMONTH(in_OtCompany_D,0)=EOMONTH(O$23,0),IF($B$3="Lean",in_OtCompany_L,in_OtCompany_S),0)</f>
        <v/>
      </c>
      <c r="P108" s="45">
        <f>IF(EOMONTH(in_OtCompany_D,0)=EOMONTH(P$23,0),IF($B$3="Lean",in_OtCompany_L,in_OtCompany_S),0)</f>
        <v/>
      </c>
      <c r="Q108" s="45">
        <f>IF(EOMONTH(in_OtCompany_D,0)=EOMONTH(Q$23,0),IF($B$3="Lean",in_OtCompany_L,in_OtCompany_S),0)</f>
        <v/>
      </c>
      <c r="R108" s="46">
        <f>SUM(C108:Q108)</f>
        <v/>
      </c>
    </row>
    <row r="109">
      <c r="A109" s="10" t="inlineStr">
        <is>
          <t>Samples and flavour development (Strawberry)</t>
        </is>
      </c>
      <c r="C109" s="45">
        <f>IF(EOMONTH(in_OtSamples_D,0)=EOMONTH(C$23,0),IF($B$3="Lean",in_OtSamples_L,in_OtSamples_S),0)</f>
        <v/>
      </c>
      <c r="D109" s="45">
        <f>IF(EOMONTH(in_OtSamples_D,0)=EOMONTH(D$23,0),IF($B$3="Lean",in_OtSamples_L,in_OtSamples_S),0)</f>
        <v/>
      </c>
      <c r="E109" s="45">
        <f>IF(EOMONTH(in_OtSamples_D,0)=EOMONTH(E$23,0),IF($B$3="Lean",in_OtSamples_L,in_OtSamples_S),0)</f>
        <v/>
      </c>
      <c r="F109" s="45">
        <f>IF(EOMONTH(in_OtSamples_D,0)=EOMONTH(F$23,0),IF($B$3="Lean",in_OtSamples_L,in_OtSamples_S),0)</f>
        <v/>
      </c>
      <c r="G109" s="45">
        <f>IF(EOMONTH(in_OtSamples_D,0)=EOMONTH(G$23,0),IF($B$3="Lean",in_OtSamples_L,in_OtSamples_S),0)</f>
        <v/>
      </c>
      <c r="H109" s="45">
        <f>IF(EOMONTH(in_OtSamples_D,0)=EOMONTH(H$23,0),IF($B$3="Lean",in_OtSamples_L,in_OtSamples_S),0)</f>
        <v/>
      </c>
      <c r="I109" s="45">
        <f>IF(EOMONTH(in_OtSamples_D,0)=EOMONTH(I$23,0),IF($B$3="Lean",in_OtSamples_L,in_OtSamples_S),0)</f>
        <v/>
      </c>
      <c r="J109" s="45">
        <f>IF(EOMONTH(in_OtSamples_D,0)=EOMONTH(J$23,0),IF($B$3="Lean",in_OtSamples_L,in_OtSamples_S),0)</f>
        <v/>
      </c>
      <c r="K109" s="45">
        <f>IF(EOMONTH(in_OtSamples_D,0)=EOMONTH(K$23,0),IF($B$3="Lean",in_OtSamples_L,in_OtSamples_S),0)</f>
        <v/>
      </c>
      <c r="L109" s="45">
        <f>IF(EOMONTH(in_OtSamples_D,0)=EOMONTH(L$23,0),IF($B$3="Lean",in_OtSamples_L,in_OtSamples_S),0)</f>
        <v/>
      </c>
      <c r="M109" s="45">
        <f>IF(EOMONTH(in_OtSamples_D,0)=EOMONTH(M$23,0),IF($B$3="Lean",in_OtSamples_L,in_OtSamples_S),0)</f>
        <v/>
      </c>
      <c r="N109" s="45">
        <f>IF(EOMONTH(in_OtSamples_D,0)=EOMONTH(N$23,0),IF($B$3="Lean",in_OtSamples_L,in_OtSamples_S),0)</f>
        <v/>
      </c>
      <c r="O109" s="45">
        <f>IF(EOMONTH(in_OtSamples_D,0)=EOMONTH(O$23,0),IF($B$3="Lean",in_OtSamples_L,in_OtSamples_S),0)</f>
        <v/>
      </c>
      <c r="P109" s="45">
        <f>IF(EOMONTH(in_OtSamples_D,0)=EOMONTH(P$23,0),IF($B$3="Lean",in_OtSamples_L,in_OtSamples_S),0)</f>
        <v/>
      </c>
      <c r="Q109" s="45">
        <f>IF(EOMONTH(in_OtSamples_D,0)=EOMONTH(Q$23,0),IF($B$3="Lean",in_OtSamples_L,in_OtSamples_S),0)</f>
        <v/>
      </c>
      <c r="R109" s="46">
        <f>SUM(C109:Q109)</f>
        <v/>
      </c>
    </row>
    <row r="110">
      <c r="A110" s="10" t="inlineStr">
        <is>
          <t>Label and regulatory review</t>
        </is>
      </c>
      <c r="C110" s="45">
        <f>IF(EOMONTH(in_OtLabel_D,0)=EOMONTH(C$23,0),IF($B$3="Lean",in_OtLabel_L,in_OtLabel_S),0)</f>
        <v/>
      </c>
      <c r="D110" s="45">
        <f>IF(EOMONTH(in_OtLabel_D,0)=EOMONTH(D$23,0),IF($B$3="Lean",in_OtLabel_L,in_OtLabel_S),0)</f>
        <v/>
      </c>
      <c r="E110" s="45">
        <f>IF(EOMONTH(in_OtLabel_D,0)=EOMONTH(E$23,0),IF($B$3="Lean",in_OtLabel_L,in_OtLabel_S),0)</f>
        <v/>
      </c>
      <c r="F110" s="45">
        <f>IF(EOMONTH(in_OtLabel_D,0)=EOMONTH(F$23,0),IF($B$3="Lean",in_OtLabel_L,in_OtLabel_S),0)</f>
        <v/>
      </c>
      <c r="G110" s="45">
        <f>IF(EOMONTH(in_OtLabel_D,0)=EOMONTH(G$23,0),IF($B$3="Lean",in_OtLabel_L,in_OtLabel_S),0)</f>
        <v/>
      </c>
      <c r="H110" s="45">
        <f>IF(EOMONTH(in_OtLabel_D,0)=EOMONTH(H$23,0),IF($B$3="Lean",in_OtLabel_L,in_OtLabel_S),0)</f>
        <v/>
      </c>
      <c r="I110" s="45">
        <f>IF(EOMONTH(in_OtLabel_D,0)=EOMONTH(I$23,0),IF($B$3="Lean",in_OtLabel_L,in_OtLabel_S),0)</f>
        <v/>
      </c>
      <c r="J110" s="45">
        <f>IF(EOMONTH(in_OtLabel_D,0)=EOMONTH(J$23,0),IF($B$3="Lean",in_OtLabel_L,in_OtLabel_S),0)</f>
        <v/>
      </c>
      <c r="K110" s="45">
        <f>IF(EOMONTH(in_OtLabel_D,0)=EOMONTH(K$23,0),IF($B$3="Lean",in_OtLabel_L,in_OtLabel_S),0)</f>
        <v/>
      </c>
      <c r="L110" s="45">
        <f>IF(EOMONTH(in_OtLabel_D,0)=EOMONTH(L$23,0),IF($B$3="Lean",in_OtLabel_L,in_OtLabel_S),0)</f>
        <v/>
      </c>
      <c r="M110" s="45">
        <f>IF(EOMONTH(in_OtLabel_D,0)=EOMONTH(M$23,0),IF($B$3="Lean",in_OtLabel_L,in_OtLabel_S),0)</f>
        <v/>
      </c>
      <c r="N110" s="45">
        <f>IF(EOMONTH(in_OtLabel_D,0)=EOMONTH(N$23,0),IF($B$3="Lean",in_OtLabel_L,in_OtLabel_S),0)</f>
        <v/>
      </c>
      <c r="O110" s="45">
        <f>IF(EOMONTH(in_OtLabel_D,0)=EOMONTH(O$23,0),IF($B$3="Lean",in_OtLabel_L,in_OtLabel_S),0)</f>
        <v/>
      </c>
      <c r="P110" s="45">
        <f>IF(EOMONTH(in_OtLabel_D,0)=EOMONTH(P$23,0),IF($B$3="Lean",in_OtLabel_L,in_OtLabel_S),0)</f>
        <v/>
      </c>
      <c r="Q110" s="45">
        <f>IF(EOMONTH(in_OtLabel_D,0)=EOMONTH(Q$23,0),IF($B$3="Lean",in_OtLabel_L,in_OtLabel_S),0)</f>
        <v/>
      </c>
      <c r="R110" s="46">
        <f>SUM(C110:Q110)</f>
        <v/>
      </c>
    </row>
    <row r="111">
      <c r="A111" s="10" t="inlineStr">
        <is>
          <t>Launch kit: shakers, display, sampling supplies, apps</t>
        </is>
      </c>
      <c r="C111" s="45">
        <f>IF(EOMONTH(in_OtKit_D,0)=EOMONTH(C$23,0),IF($B$3="Lean",in_OtKit_L,in_OtKit_S),0)</f>
        <v/>
      </c>
      <c r="D111" s="45">
        <f>IF(EOMONTH(in_OtKit_D,0)=EOMONTH(D$23,0),IF($B$3="Lean",in_OtKit_L,in_OtKit_S),0)</f>
        <v/>
      </c>
      <c r="E111" s="45">
        <f>IF(EOMONTH(in_OtKit_D,0)=EOMONTH(E$23,0),IF($B$3="Lean",in_OtKit_L,in_OtKit_S),0)</f>
        <v/>
      </c>
      <c r="F111" s="45">
        <f>IF(EOMONTH(in_OtKit_D,0)=EOMONTH(F$23,0),IF($B$3="Lean",in_OtKit_L,in_OtKit_S),0)</f>
        <v/>
      </c>
      <c r="G111" s="45">
        <f>IF(EOMONTH(in_OtKit_D,0)=EOMONTH(G$23,0),IF($B$3="Lean",in_OtKit_L,in_OtKit_S),0)</f>
        <v/>
      </c>
      <c r="H111" s="45">
        <f>IF(EOMONTH(in_OtKit_D,0)=EOMONTH(H$23,0),IF($B$3="Lean",in_OtKit_L,in_OtKit_S),0)</f>
        <v/>
      </c>
      <c r="I111" s="45">
        <f>IF(EOMONTH(in_OtKit_D,0)=EOMONTH(I$23,0),IF($B$3="Lean",in_OtKit_L,in_OtKit_S),0)</f>
        <v/>
      </c>
      <c r="J111" s="45">
        <f>IF(EOMONTH(in_OtKit_D,0)=EOMONTH(J$23,0),IF($B$3="Lean",in_OtKit_L,in_OtKit_S),0)</f>
        <v/>
      </c>
      <c r="K111" s="45">
        <f>IF(EOMONTH(in_OtKit_D,0)=EOMONTH(K$23,0),IF($B$3="Lean",in_OtKit_L,in_OtKit_S),0)</f>
        <v/>
      </c>
      <c r="L111" s="45">
        <f>IF(EOMONTH(in_OtKit_D,0)=EOMONTH(L$23,0),IF($B$3="Lean",in_OtKit_L,in_OtKit_S),0)</f>
        <v/>
      </c>
      <c r="M111" s="45">
        <f>IF(EOMONTH(in_OtKit_D,0)=EOMONTH(M$23,0),IF($B$3="Lean",in_OtKit_L,in_OtKit_S),0)</f>
        <v/>
      </c>
      <c r="N111" s="45">
        <f>IF(EOMONTH(in_OtKit_D,0)=EOMONTH(N$23,0),IF($B$3="Lean",in_OtKit_L,in_OtKit_S),0)</f>
        <v/>
      </c>
      <c r="O111" s="45">
        <f>IF(EOMONTH(in_OtKit_D,0)=EOMONTH(O$23,0),IF($B$3="Lean",in_OtKit_L,in_OtKit_S),0)</f>
        <v/>
      </c>
      <c r="P111" s="45">
        <f>IF(EOMONTH(in_OtKit_D,0)=EOMONTH(P$23,0),IF($B$3="Lean",in_OtKit_L,in_OtKit_S),0)</f>
        <v/>
      </c>
      <c r="Q111" s="45">
        <f>IF(EOMONTH(in_OtKit_D,0)=EOMONTH(Q$23,0),IF($B$3="Lean",in_OtKit_L,in_OtKit_S),0)</f>
        <v/>
      </c>
      <c r="R111" s="46">
        <f>SUM(C111:Q111)</f>
        <v/>
      </c>
    </row>
    <row r="112">
      <c r="A112" s="10" t="inlineStr">
        <is>
          <t>Real Fruit Hydration sticks (development and first run)</t>
        </is>
      </c>
      <c r="C112" s="45">
        <f>IF(EOMONTH(in_OtHydra_D,0)=EOMONTH(C$23,0),IF($B$3="Lean",in_OtHydra_L,in_OtHydra_S),0)*in_HydraOn</f>
        <v/>
      </c>
      <c r="D112" s="45">
        <f>IF(EOMONTH(in_OtHydra_D,0)=EOMONTH(D$23,0),IF($B$3="Lean",in_OtHydra_L,in_OtHydra_S),0)*in_HydraOn</f>
        <v/>
      </c>
      <c r="E112" s="45">
        <f>IF(EOMONTH(in_OtHydra_D,0)=EOMONTH(E$23,0),IF($B$3="Lean",in_OtHydra_L,in_OtHydra_S),0)*in_HydraOn</f>
        <v/>
      </c>
      <c r="F112" s="45">
        <f>IF(EOMONTH(in_OtHydra_D,0)=EOMONTH(F$23,0),IF($B$3="Lean",in_OtHydra_L,in_OtHydra_S),0)*in_HydraOn</f>
        <v/>
      </c>
      <c r="G112" s="45">
        <f>IF(EOMONTH(in_OtHydra_D,0)=EOMONTH(G$23,0),IF($B$3="Lean",in_OtHydra_L,in_OtHydra_S),0)*in_HydraOn</f>
        <v/>
      </c>
      <c r="H112" s="45">
        <f>IF(EOMONTH(in_OtHydra_D,0)=EOMONTH(H$23,0),IF($B$3="Lean",in_OtHydra_L,in_OtHydra_S),0)*in_HydraOn</f>
        <v/>
      </c>
      <c r="I112" s="45">
        <f>IF(EOMONTH(in_OtHydra_D,0)=EOMONTH(I$23,0),IF($B$3="Lean",in_OtHydra_L,in_OtHydra_S),0)*in_HydraOn</f>
        <v/>
      </c>
      <c r="J112" s="45">
        <f>IF(EOMONTH(in_OtHydra_D,0)=EOMONTH(J$23,0),IF($B$3="Lean",in_OtHydra_L,in_OtHydra_S),0)*in_HydraOn</f>
        <v/>
      </c>
      <c r="K112" s="45">
        <f>IF(EOMONTH(in_OtHydra_D,0)=EOMONTH(K$23,0),IF($B$3="Lean",in_OtHydra_L,in_OtHydra_S),0)*in_HydraOn</f>
        <v/>
      </c>
      <c r="L112" s="45">
        <f>IF(EOMONTH(in_OtHydra_D,0)=EOMONTH(L$23,0),IF($B$3="Lean",in_OtHydra_L,in_OtHydra_S),0)*in_HydraOn</f>
        <v/>
      </c>
      <c r="M112" s="45">
        <f>IF(EOMONTH(in_OtHydra_D,0)=EOMONTH(M$23,0),IF($B$3="Lean",in_OtHydra_L,in_OtHydra_S),0)*in_HydraOn</f>
        <v/>
      </c>
      <c r="N112" s="45">
        <f>IF(EOMONTH(in_OtHydra_D,0)=EOMONTH(N$23,0),IF($B$3="Lean",in_OtHydra_L,in_OtHydra_S),0)*in_HydraOn</f>
        <v/>
      </c>
      <c r="O112" s="45">
        <f>IF(EOMONTH(in_OtHydra_D,0)=EOMONTH(O$23,0),IF($B$3="Lean",in_OtHydra_L,in_OtHydra_S),0)*in_HydraOn</f>
        <v/>
      </c>
      <c r="P112" s="45">
        <f>IF(EOMONTH(in_OtHydra_D,0)=EOMONTH(P$23,0),IF($B$3="Lean",in_OtHydra_L,in_OtHydra_S),0)*in_HydraOn</f>
        <v/>
      </c>
      <c r="Q112" s="45">
        <f>IF(EOMONTH(in_OtHydra_D,0)=EOMONTH(Q$23,0),IF($B$3="Lean",in_OtHydra_L,in_OtHydra_S),0)*in_HydraOn</f>
        <v/>
      </c>
      <c r="R112" s="46">
        <f>SUM(C112:Q112)</f>
        <v/>
      </c>
    </row>
    <row r="113">
      <c r="A113" s="10" t="inlineStr">
        <is>
          <t>Second protein flavour: samples and development</t>
        </is>
      </c>
      <c r="C113" s="45">
        <f>IF(EOMONTH(in_OtFlavor2_D,0)=EOMONTH(C$23,0),IF($B$3="Lean",in_OtFlavor2_L,in_OtFlavor2_S),0)*in_Flavor2On</f>
        <v/>
      </c>
      <c r="D113" s="45">
        <f>IF(EOMONTH(in_OtFlavor2_D,0)=EOMONTH(D$23,0),IF($B$3="Lean",in_OtFlavor2_L,in_OtFlavor2_S),0)*in_Flavor2On</f>
        <v/>
      </c>
      <c r="E113" s="45">
        <f>IF(EOMONTH(in_OtFlavor2_D,0)=EOMONTH(E$23,0),IF($B$3="Lean",in_OtFlavor2_L,in_OtFlavor2_S),0)*in_Flavor2On</f>
        <v/>
      </c>
      <c r="F113" s="45">
        <f>IF(EOMONTH(in_OtFlavor2_D,0)=EOMONTH(F$23,0),IF($B$3="Lean",in_OtFlavor2_L,in_OtFlavor2_S),0)*in_Flavor2On</f>
        <v/>
      </c>
      <c r="G113" s="45">
        <f>IF(EOMONTH(in_OtFlavor2_D,0)=EOMONTH(G$23,0),IF($B$3="Lean",in_OtFlavor2_L,in_OtFlavor2_S),0)*in_Flavor2On</f>
        <v/>
      </c>
      <c r="H113" s="45">
        <f>IF(EOMONTH(in_OtFlavor2_D,0)=EOMONTH(H$23,0),IF($B$3="Lean",in_OtFlavor2_L,in_OtFlavor2_S),0)*in_Flavor2On</f>
        <v/>
      </c>
      <c r="I113" s="45">
        <f>IF(EOMONTH(in_OtFlavor2_D,0)=EOMONTH(I$23,0),IF($B$3="Lean",in_OtFlavor2_L,in_OtFlavor2_S),0)*in_Flavor2On</f>
        <v/>
      </c>
      <c r="J113" s="45">
        <f>IF(EOMONTH(in_OtFlavor2_D,0)=EOMONTH(J$23,0),IF($B$3="Lean",in_OtFlavor2_L,in_OtFlavor2_S),0)*in_Flavor2On</f>
        <v/>
      </c>
      <c r="K113" s="45">
        <f>IF(EOMONTH(in_OtFlavor2_D,0)=EOMONTH(K$23,0),IF($B$3="Lean",in_OtFlavor2_L,in_OtFlavor2_S),0)*in_Flavor2On</f>
        <v/>
      </c>
      <c r="L113" s="45">
        <f>IF(EOMONTH(in_OtFlavor2_D,0)=EOMONTH(L$23,0),IF($B$3="Lean",in_OtFlavor2_L,in_OtFlavor2_S),0)*in_Flavor2On</f>
        <v/>
      </c>
      <c r="M113" s="45">
        <f>IF(EOMONTH(in_OtFlavor2_D,0)=EOMONTH(M$23,0),IF($B$3="Lean",in_OtFlavor2_L,in_OtFlavor2_S),0)*in_Flavor2On</f>
        <v/>
      </c>
      <c r="N113" s="45">
        <f>IF(EOMONTH(in_OtFlavor2_D,0)=EOMONTH(N$23,0),IF($B$3="Lean",in_OtFlavor2_L,in_OtFlavor2_S),0)*in_Flavor2On</f>
        <v/>
      </c>
      <c r="O113" s="45">
        <f>IF(EOMONTH(in_OtFlavor2_D,0)=EOMONTH(O$23,0),IF($B$3="Lean",in_OtFlavor2_L,in_OtFlavor2_S),0)*in_Flavor2On</f>
        <v/>
      </c>
      <c r="P113" s="45">
        <f>IF(EOMONTH(in_OtFlavor2_D,0)=EOMONTH(P$23,0),IF($B$3="Lean",in_OtFlavor2_L,in_OtFlavor2_S),0)*in_Flavor2On</f>
        <v/>
      </c>
      <c r="Q113" s="45">
        <f>IF(EOMONTH(in_OtFlavor2_D,0)=EOMONTH(Q$23,0),IF($B$3="Lean",in_OtFlavor2_L,in_OtFlavor2_S),0)*in_Flavor2On</f>
        <v/>
      </c>
      <c r="R113" s="46">
        <f>SUM(C113:Q113)</f>
        <v/>
      </c>
    </row>
    <row r="114">
      <c r="A114" s="10" t="inlineStr">
        <is>
          <t>Optional: Picked Creatine via Supliful</t>
        </is>
      </c>
      <c r="C114" s="45">
        <f>IF(EOMONTH(in_OtCreatine_D,0)=EOMONTH(C$23,0),IF($B$3="Lean",in_OtCreatine_L,in_OtCreatine_S),0)</f>
        <v/>
      </c>
      <c r="D114" s="45">
        <f>IF(EOMONTH(in_OtCreatine_D,0)=EOMONTH(D$23,0),IF($B$3="Lean",in_OtCreatine_L,in_OtCreatine_S),0)</f>
        <v/>
      </c>
      <c r="E114" s="45">
        <f>IF(EOMONTH(in_OtCreatine_D,0)=EOMONTH(E$23,0),IF($B$3="Lean",in_OtCreatine_L,in_OtCreatine_S),0)</f>
        <v/>
      </c>
      <c r="F114" s="45">
        <f>IF(EOMONTH(in_OtCreatine_D,0)=EOMONTH(F$23,0),IF($B$3="Lean",in_OtCreatine_L,in_OtCreatine_S),0)</f>
        <v/>
      </c>
      <c r="G114" s="45">
        <f>IF(EOMONTH(in_OtCreatine_D,0)=EOMONTH(G$23,0),IF($B$3="Lean",in_OtCreatine_L,in_OtCreatine_S),0)</f>
        <v/>
      </c>
      <c r="H114" s="45">
        <f>IF(EOMONTH(in_OtCreatine_D,0)=EOMONTH(H$23,0),IF($B$3="Lean",in_OtCreatine_L,in_OtCreatine_S),0)</f>
        <v/>
      </c>
      <c r="I114" s="45">
        <f>IF(EOMONTH(in_OtCreatine_D,0)=EOMONTH(I$23,0),IF($B$3="Lean",in_OtCreatine_L,in_OtCreatine_S),0)</f>
        <v/>
      </c>
      <c r="J114" s="45">
        <f>IF(EOMONTH(in_OtCreatine_D,0)=EOMONTH(J$23,0),IF($B$3="Lean",in_OtCreatine_L,in_OtCreatine_S),0)</f>
        <v/>
      </c>
      <c r="K114" s="45">
        <f>IF(EOMONTH(in_OtCreatine_D,0)=EOMONTH(K$23,0),IF($B$3="Lean",in_OtCreatine_L,in_OtCreatine_S),0)</f>
        <v/>
      </c>
      <c r="L114" s="45">
        <f>IF(EOMONTH(in_OtCreatine_D,0)=EOMONTH(L$23,0),IF($B$3="Lean",in_OtCreatine_L,in_OtCreatine_S),0)</f>
        <v/>
      </c>
      <c r="M114" s="45">
        <f>IF(EOMONTH(in_OtCreatine_D,0)=EOMONTH(M$23,0),IF($B$3="Lean",in_OtCreatine_L,in_OtCreatine_S),0)</f>
        <v/>
      </c>
      <c r="N114" s="45">
        <f>IF(EOMONTH(in_OtCreatine_D,0)=EOMONTH(N$23,0),IF($B$3="Lean",in_OtCreatine_L,in_OtCreatine_S),0)</f>
        <v/>
      </c>
      <c r="O114" s="45">
        <f>IF(EOMONTH(in_OtCreatine_D,0)=EOMONTH(O$23,0),IF($B$3="Lean",in_OtCreatine_L,in_OtCreatine_S),0)</f>
        <v/>
      </c>
      <c r="P114" s="45">
        <f>IF(EOMONTH(in_OtCreatine_D,0)=EOMONTH(P$23,0),IF($B$3="Lean",in_OtCreatine_L,in_OtCreatine_S),0)</f>
        <v/>
      </c>
      <c r="Q114" s="45">
        <f>IF(EOMONTH(in_OtCreatine_D,0)=EOMONTH(Q$23,0),IF($B$3="Lean",in_OtCreatine_L,in_OtCreatine_S),0)</f>
        <v/>
      </c>
      <c r="R114" s="46">
        <f>SUM(C114:Q114)</f>
        <v/>
      </c>
    </row>
    <row r="115">
      <c r="A115" s="26" t="inlineStr">
        <is>
          <t>Total one-time launch costs</t>
        </is>
      </c>
      <c r="C115" s="47">
        <f>SUM(C108:C114)</f>
        <v/>
      </c>
      <c r="D115" s="47">
        <f>SUM(D108:D114)</f>
        <v/>
      </c>
      <c r="E115" s="47">
        <f>SUM(E108:E114)</f>
        <v/>
      </c>
      <c r="F115" s="47">
        <f>SUM(F108:F114)</f>
        <v/>
      </c>
      <c r="G115" s="47">
        <f>SUM(G108:G114)</f>
        <v/>
      </c>
      <c r="H115" s="47">
        <f>SUM(H108:H114)</f>
        <v/>
      </c>
      <c r="I115" s="47">
        <f>SUM(I108:I114)</f>
        <v/>
      </c>
      <c r="J115" s="47">
        <f>SUM(J108:J114)</f>
        <v/>
      </c>
      <c r="K115" s="47">
        <f>SUM(K108:K114)</f>
        <v/>
      </c>
      <c r="L115" s="47">
        <f>SUM(L108:L114)</f>
        <v/>
      </c>
      <c r="M115" s="47">
        <f>SUM(M108:M114)</f>
        <v/>
      </c>
      <c r="N115" s="47">
        <f>SUM(N108:N114)</f>
        <v/>
      </c>
      <c r="O115" s="47">
        <f>SUM(O108:O114)</f>
        <v/>
      </c>
      <c r="P115" s="47">
        <f>SUM(P108:P114)</f>
        <v/>
      </c>
      <c r="Q115" s="47">
        <f>SUM(Q108:Q114)</f>
        <v/>
      </c>
      <c r="R115" s="46">
        <f>SUM(C115:Q115)</f>
        <v/>
      </c>
    </row>
    <row r="117">
      <c r="A117" s="7" t="inlineStr">
        <is>
          <t>Cash position</t>
        </is>
      </c>
      <c r="B117" s="8" t="n"/>
      <c r="C117" s="8" t="n"/>
      <c r="D117" s="8" t="n"/>
      <c r="E117" s="8" t="n"/>
      <c r="F117" s="8" t="n"/>
      <c r="G117" s="8" t="n"/>
      <c r="H117" s="8" t="n"/>
      <c r="I117" s="8" t="n"/>
      <c r="J117" s="8" t="n"/>
      <c r="K117" s="8" t="n"/>
      <c r="L117" s="8" t="n"/>
      <c r="M117" s="8" t="n"/>
      <c r="N117" s="8" t="n"/>
      <c r="O117" s="8" t="n"/>
      <c r="P117" s="8" t="n"/>
      <c r="Q117" s="8" t="n"/>
      <c r="R117" s="8" t="n"/>
    </row>
    <row r="118">
      <c r="A118" s="26" t="inlineStr">
        <is>
          <t>Net cash flow</t>
        </is>
      </c>
      <c r="C118" s="47">
        <f>C77-C84-C91-C96-C105-C115</f>
        <v/>
      </c>
      <c r="D118" s="47">
        <f>D77-D84-D91-D96-D105-D115</f>
        <v/>
      </c>
      <c r="E118" s="47">
        <f>E77-E84-E91-E96-E105-E115</f>
        <v/>
      </c>
      <c r="F118" s="47">
        <f>F77-F84-F91-F96-F105-F115</f>
        <v/>
      </c>
      <c r="G118" s="47">
        <f>G77-G84-G91-G96-G105-G115</f>
        <v/>
      </c>
      <c r="H118" s="47">
        <f>H77-H84-H91-H96-H105-H115</f>
        <v/>
      </c>
      <c r="I118" s="47">
        <f>I77-I84-I91-I96-I105-I115</f>
        <v/>
      </c>
      <c r="J118" s="47">
        <f>J77-J84-J91-J96-J105-J115</f>
        <v/>
      </c>
      <c r="K118" s="47">
        <f>K77-K84-K91-K96-K105-K115</f>
        <v/>
      </c>
      <c r="L118" s="47">
        <f>L77-L84-L91-L96-L105-L115</f>
        <v/>
      </c>
      <c r="M118" s="47">
        <f>M77-M84-M91-M96-M105-M115</f>
        <v/>
      </c>
      <c r="N118" s="47">
        <f>N77-N84-N91-N96-N105-N115</f>
        <v/>
      </c>
      <c r="O118" s="47">
        <f>O77-O84-O91-O96-O105-O115</f>
        <v/>
      </c>
      <c r="P118" s="47">
        <f>P77-P84-P91-P96-P105-P115</f>
        <v/>
      </c>
      <c r="Q118" s="47">
        <f>Q77-Q84-Q91-Q96-Q105-Q115</f>
        <v/>
      </c>
      <c r="R118" s="46">
        <f>SUM(C118:Q118)</f>
        <v/>
      </c>
    </row>
    <row r="119">
      <c r="A119" s="10" t="inlineStr">
        <is>
          <t>Cumulative net cash flow</t>
        </is>
      </c>
      <c r="C119" s="45">
        <f>C118</f>
        <v/>
      </c>
      <c r="D119" s="45">
        <f>C119+D118</f>
        <v/>
      </c>
      <c r="E119" s="45">
        <f>D119+E118</f>
        <v/>
      </c>
      <c r="F119" s="45">
        <f>E119+F118</f>
        <v/>
      </c>
      <c r="G119" s="45">
        <f>F119+G118</f>
        <v/>
      </c>
      <c r="H119" s="45">
        <f>G119+H118</f>
        <v/>
      </c>
      <c r="I119" s="45">
        <f>H119+I118</f>
        <v/>
      </c>
      <c r="J119" s="45">
        <f>I119+J118</f>
        <v/>
      </c>
      <c r="K119" s="45">
        <f>J119+K118</f>
        <v/>
      </c>
      <c r="L119" s="45">
        <f>K119+L118</f>
        <v/>
      </c>
      <c r="M119" s="45">
        <f>L119+M118</f>
        <v/>
      </c>
      <c r="N119" s="45">
        <f>M119+N118</f>
        <v/>
      </c>
      <c r="O119" s="45">
        <f>N119+O118</f>
        <v/>
      </c>
      <c r="P119" s="45">
        <f>O119+P118</f>
        <v/>
      </c>
      <c r="Q119" s="45">
        <f>P119+Q118</f>
        <v/>
      </c>
    </row>
    <row r="120">
      <c r="A120" s="26" t="inlineStr">
        <is>
          <t>Cash balance (starting cash + cumulative)</t>
        </is>
      </c>
      <c r="C120" s="47">
        <f>in_StartCash+C119</f>
        <v/>
      </c>
      <c r="D120" s="47">
        <f>in_StartCash+D119</f>
        <v/>
      </c>
      <c r="E120" s="47">
        <f>in_StartCash+E119</f>
        <v/>
      </c>
      <c r="F120" s="47">
        <f>in_StartCash+F119</f>
        <v/>
      </c>
      <c r="G120" s="47">
        <f>in_StartCash+G119</f>
        <v/>
      </c>
      <c r="H120" s="47">
        <f>in_StartCash+H119</f>
        <v/>
      </c>
      <c r="I120" s="47">
        <f>in_StartCash+I119</f>
        <v/>
      </c>
      <c r="J120" s="47">
        <f>in_StartCash+J119</f>
        <v/>
      </c>
      <c r="K120" s="47">
        <f>in_StartCash+K119</f>
        <v/>
      </c>
      <c r="L120" s="47">
        <f>in_StartCash+L119</f>
        <v/>
      </c>
      <c r="M120" s="47">
        <f>in_StartCash+M119</f>
        <v/>
      </c>
      <c r="N120" s="47">
        <f>in_StartCash+N119</f>
        <v/>
      </c>
      <c r="O120" s="47">
        <f>in_StartCash+O119</f>
        <v/>
      </c>
      <c r="P120" s="47">
        <f>in_StartCash+P119</f>
        <v/>
      </c>
      <c r="Q120" s="47">
        <f>in_StartCash+Q119</f>
        <v/>
      </c>
    </row>
    <row r="121">
      <c r="A121" s="10" t="inlineStr">
        <is>
          <t>Lowest cash month</t>
        </is>
      </c>
      <c r="B121" s="6" t="inlineStr">
        <is>
          <t>Flags the low point</t>
        </is>
      </c>
      <c r="C121" s="10">
        <f>IF(C120=MIN($C$120:$Q$120),"LOWEST","")</f>
        <v/>
      </c>
      <c r="D121" s="10">
        <f>IF(D120=MIN($C$120:$Q$120),"LOWEST","")</f>
        <v/>
      </c>
      <c r="E121" s="10">
        <f>IF(E120=MIN($C$120:$Q$120),"LOWEST","")</f>
        <v/>
      </c>
      <c r="F121" s="10">
        <f>IF(F120=MIN($C$120:$Q$120),"LOWEST","")</f>
        <v/>
      </c>
      <c r="G121" s="10">
        <f>IF(G120=MIN($C$120:$Q$120),"LOWEST","")</f>
        <v/>
      </c>
      <c r="H121" s="10">
        <f>IF(H120=MIN($C$120:$Q$120),"LOWEST","")</f>
        <v/>
      </c>
      <c r="I121" s="10">
        <f>IF(I120=MIN($C$120:$Q$120),"LOWEST","")</f>
        <v/>
      </c>
      <c r="J121" s="10">
        <f>IF(J120=MIN($C$120:$Q$120),"LOWEST","")</f>
        <v/>
      </c>
      <c r="K121" s="10">
        <f>IF(K120=MIN($C$120:$Q$120),"LOWEST","")</f>
        <v/>
      </c>
      <c r="L121" s="10">
        <f>IF(L120=MIN($C$120:$Q$120),"LOWEST","")</f>
        <v/>
      </c>
      <c r="M121" s="10">
        <f>IF(M120=MIN($C$120:$Q$120),"LOWEST","")</f>
        <v/>
      </c>
      <c r="N121" s="10">
        <f>IF(N120=MIN($C$120:$Q$120),"LOWEST","")</f>
        <v/>
      </c>
      <c r="O121" s="10">
        <f>IF(O120=MIN($C$120:$Q$120),"LOWEST","")</f>
        <v/>
      </c>
      <c r="P121" s="10">
        <f>IF(P120=MIN($C$120:$Q$120),"LOWEST","")</f>
        <v/>
      </c>
      <c r="Q121" s="10">
        <f>IF(Q120=MIN($C$120:$Q$120),"LOWEST","")</f>
        <v/>
      </c>
    </row>
    <row r="123">
      <c r="A123" s="7" t="inlineStr">
        <is>
          <t>Operating view (accrual memo: COGS on units sold, launch costs excluded)</t>
        </is>
      </c>
      <c r="B123" s="8" t="n"/>
      <c r="C123" s="8" t="n"/>
      <c r="D123" s="8" t="n"/>
      <c r="E123" s="8" t="n"/>
      <c r="F123" s="8" t="n"/>
      <c r="G123" s="8" t="n"/>
      <c r="H123" s="8" t="n"/>
      <c r="I123" s="8" t="n"/>
      <c r="J123" s="8" t="n"/>
      <c r="K123" s="8" t="n"/>
      <c r="L123" s="8" t="n"/>
      <c r="M123" s="8" t="n"/>
      <c r="N123" s="8" t="n"/>
      <c r="O123" s="8" t="n"/>
      <c r="P123" s="8" t="n"/>
      <c r="Q123" s="8" t="n"/>
      <c r="R123" s="8" t="n"/>
    </row>
    <row r="124">
      <c r="A124" s="10" t="inlineStr">
        <is>
          <t>Revenue (DTC + wholesale invoiced)</t>
        </is>
      </c>
      <c r="C124" s="45">
        <f>C74+C75</f>
        <v/>
      </c>
      <c r="D124" s="45">
        <f>D74+D75</f>
        <v/>
      </c>
      <c r="E124" s="45">
        <f>E74+E75</f>
        <v/>
      </c>
      <c r="F124" s="45">
        <f>F74+F75</f>
        <v/>
      </c>
      <c r="G124" s="45">
        <f>G74+G75</f>
        <v/>
      </c>
      <c r="H124" s="45">
        <f>H74+H75</f>
        <v/>
      </c>
      <c r="I124" s="45">
        <f>I74+I75</f>
        <v/>
      </c>
      <c r="J124" s="45">
        <f>J74+J75</f>
        <v/>
      </c>
      <c r="K124" s="45">
        <f>K74+K75</f>
        <v/>
      </c>
      <c r="L124" s="45">
        <f>L74+L75</f>
        <v/>
      </c>
      <c r="M124" s="45">
        <f>M74+M75</f>
        <v/>
      </c>
      <c r="N124" s="45">
        <f>N74+N75</f>
        <v/>
      </c>
      <c r="O124" s="45">
        <f>O74+O75</f>
        <v/>
      </c>
      <c r="P124" s="45">
        <f>P74+P75</f>
        <v/>
      </c>
      <c r="Q124" s="45">
        <f>Q74+Q75</f>
        <v/>
      </c>
      <c r="R124" s="46">
        <f>SUM(C124:Q124)</f>
        <v/>
      </c>
    </row>
    <row r="125">
      <c r="A125" s="10" t="inlineStr">
        <is>
          <t>COGS on units sold</t>
        </is>
      </c>
      <c r="C125" s="45">
        <f>C53*$B$6+C64*$B$7</f>
        <v/>
      </c>
      <c r="D125" s="45">
        <f>D53*$B$6+D64*$B$7</f>
        <v/>
      </c>
      <c r="E125" s="45">
        <f>E53*$B$6+E64*$B$7</f>
        <v/>
      </c>
      <c r="F125" s="45">
        <f>F53*$B$6+F64*$B$7</f>
        <v/>
      </c>
      <c r="G125" s="45">
        <f>G53*$B$6+G64*$B$7</f>
        <v/>
      </c>
      <c r="H125" s="45">
        <f>H53*$B$6+H64*$B$7</f>
        <v/>
      </c>
      <c r="I125" s="45">
        <f>I53*$B$6+I64*$B$7</f>
        <v/>
      </c>
      <c r="J125" s="45">
        <f>J53*$B$6+J64*$B$7</f>
        <v/>
      </c>
      <c r="K125" s="45">
        <f>K53*$B$6+K64*$B$7</f>
        <v/>
      </c>
      <c r="L125" s="45">
        <f>L53*$B$6+L64*$B$7</f>
        <v/>
      </c>
      <c r="M125" s="45">
        <f>M53*$B$6+M64*$B$7</f>
        <v/>
      </c>
      <c r="N125" s="45">
        <f>N53*$B$6+N64*$B$7</f>
        <v/>
      </c>
      <c r="O125" s="45">
        <f>O53*$B$6+O64*$B$7</f>
        <v/>
      </c>
      <c r="P125" s="45">
        <f>P53*$B$6+P64*$B$7</f>
        <v/>
      </c>
      <c r="Q125" s="45">
        <f>Q53*$B$6+Q64*$B$7</f>
        <v/>
      </c>
      <c r="R125" s="46">
        <f>SUM(C125:Q125)</f>
        <v/>
      </c>
    </row>
    <row r="126">
      <c r="A126" s="26" t="inlineStr">
        <is>
          <t>Operating profit (revenue - COGS - variable - marketing - fixed)</t>
        </is>
      </c>
      <c r="C126" s="47">
        <f>C124-C125-C91-C96-C105</f>
        <v/>
      </c>
      <c r="D126" s="47">
        <f>D124-D125-D91-D96-D105</f>
        <v/>
      </c>
      <c r="E126" s="47">
        <f>E124-E125-E91-E96-E105</f>
        <v/>
      </c>
      <c r="F126" s="47">
        <f>F124-F125-F91-F96-F105</f>
        <v/>
      </c>
      <c r="G126" s="47">
        <f>G124-G125-G91-G96-G105</f>
        <v/>
      </c>
      <c r="H126" s="47">
        <f>H124-H125-H91-H96-H105</f>
        <v/>
      </c>
      <c r="I126" s="47">
        <f>I124-I125-I91-I96-I105</f>
        <v/>
      </c>
      <c r="J126" s="47">
        <f>J124-J125-J91-J96-J105</f>
        <v/>
      </c>
      <c r="K126" s="47">
        <f>K124-K125-K91-K96-K105</f>
        <v/>
      </c>
      <c r="L126" s="47">
        <f>L124-L125-L91-L96-L105</f>
        <v/>
      </c>
      <c r="M126" s="47">
        <f>M124-M125-M91-M96-M105</f>
        <v/>
      </c>
      <c r="N126" s="47">
        <f>N124-N125-N91-N96-N105</f>
        <v/>
      </c>
      <c r="O126" s="47">
        <f>O124-O125-O91-O96-O105</f>
        <v/>
      </c>
      <c r="P126" s="47">
        <f>P124-P125-P91-P96-P105</f>
        <v/>
      </c>
      <c r="Q126" s="47">
        <f>Q124-Q125-Q91-Q96-Q105</f>
        <v/>
      </c>
      <c r="R126" s="46">
        <f>SUM(C126:Q126)</f>
        <v/>
      </c>
    </row>
    <row r="127">
      <c r="A127" s="10" t="inlineStr">
        <is>
          <t>Operating break-even flag (1 = profit &gt;= 0 while selling)</t>
        </is>
      </c>
      <c r="C127" s="39">
        <f>IF(AND(C24=1,C126&gt;=0),1,0)</f>
        <v/>
      </c>
      <c r="D127" s="39">
        <f>IF(AND(D24=1,D126&gt;=0),1,0)</f>
        <v/>
      </c>
      <c r="E127" s="39">
        <f>IF(AND(E24=1,E126&gt;=0),1,0)</f>
        <v/>
      </c>
      <c r="F127" s="39">
        <f>IF(AND(F24=1,F126&gt;=0),1,0)</f>
        <v/>
      </c>
      <c r="G127" s="39">
        <f>IF(AND(G24=1,G126&gt;=0),1,0)</f>
        <v/>
      </c>
      <c r="H127" s="39">
        <f>IF(AND(H24=1,H126&gt;=0),1,0)</f>
        <v/>
      </c>
      <c r="I127" s="39">
        <f>IF(AND(I24=1,I126&gt;=0),1,0)</f>
        <v/>
      </c>
      <c r="J127" s="39">
        <f>IF(AND(J24=1,J126&gt;=0),1,0)</f>
        <v/>
      </c>
      <c r="K127" s="39">
        <f>IF(AND(K24=1,K126&gt;=0),1,0)</f>
        <v/>
      </c>
      <c r="L127" s="39">
        <f>IF(AND(L24=1,L126&gt;=0),1,0)</f>
        <v/>
      </c>
      <c r="M127" s="39">
        <f>IF(AND(M24=1,M126&gt;=0),1,0)</f>
        <v/>
      </c>
      <c r="N127" s="39">
        <f>IF(AND(N24=1,N126&gt;=0),1,0)</f>
        <v/>
      </c>
      <c r="O127" s="39">
        <f>IF(AND(O24=1,O126&gt;=0),1,0)</f>
        <v/>
      </c>
      <c r="P127" s="39">
        <f>IF(AND(P24=1,P126&gt;=0),1,0)</f>
        <v/>
      </c>
      <c r="Q127" s="39">
        <f>IF(AND(Q24=1,Q126&gt;=0),1,0)</f>
        <v/>
      </c>
    </row>
    <row r="128">
      <c r="A128" s="10" t="inlineStr">
        <is>
          <t>Cash payback flag (1 = cumulative net cash &gt;= 0 while selling)</t>
        </is>
      </c>
      <c r="C128" s="39">
        <f>IF(AND(C24=1,C119&gt;=0),1,0)</f>
        <v/>
      </c>
      <c r="D128" s="39">
        <f>IF(AND(D24=1,D119&gt;=0),1,0)</f>
        <v/>
      </c>
      <c r="E128" s="39">
        <f>IF(AND(E24=1,E119&gt;=0),1,0)</f>
        <v/>
      </c>
      <c r="F128" s="39">
        <f>IF(AND(F24=1,F119&gt;=0),1,0)</f>
        <v/>
      </c>
      <c r="G128" s="39">
        <f>IF(AND(G24=1,G119&gt;=0),1,0)</f>
        <v/>
      </c>
      <c r="H128" s="39">
        <f>IF(AND(H24=1,H119&gt;=0),1,0)</f>
        <v/>
      </c>
      <c r="I128" s="39">
        <f>IF(AND(I24=1,I119&gt;=0),1,0)</f>
        <v/>
      </c>
      <c r="J128" s="39">
        <f>IF(AND(J24=1,J119&gt;=0),1,0)</f>
        <v/>
      </c>
      <c r="K128" s="39">
        <f>IF(AND(K24=1,K119&gt;=0),1,0)</f>
        <v/>
      </c>
      <c r="L128" s="39">
        <f>IF(AND(L24=1,L119&gt;=0),1,0)</f>
        <v/>
      </c>
      <c r="M128" s="39">
        <f>IF(AND(M24=1,M119&gt;=0),1,0)</f>
        <v/>
      </c>
      <c r="N128" s="39">
        <f>IF(AND(N24=1,N119&gt;=0),1,0)</f>
        <v/>
      </c>
      <c r="O128" s="39">
        <f>IF(AND(O24=1,O119&gt;=0),1,0)</f>
        <v/>
      </c>
      <c r="P128" s="39">
        <f>IF(AND(P24=1,P119&gt;=0),1,0)</f>
        <v/>
      </c>
      <c r="Q128" s="39">
        <f>IF(AND(Q24=1,Q119&gt;=0),1,0)</f>
        <v/>
      </c>
    </row>
    <row r="129">
      <c r="A129" s="10" t="inlineStr">
        <is>
          <t>Closing inventory at cost</t>
        </is>
      </c>
      <c r="C129" s="45">
        <f>C55*$B$6+C66*$B$7</f>
        <v/>
      </c>
      <c r="D129" s="45">
        <f>D55*$B$6+D66*$B$7</f>
        <v/>
      </c>
      <c r="E129" s="45">
        <f>E55*$B$6+E66*$B$7</f>
        <v/>
      </c>
      <c r="F129" s="45">
        <f>F55*$B$6+F66*$B$7</f>
        <v/>
      </c>
      <c r="G129" s="45">
        <f>G55*$B$6+G66*$B$7</f>
        <v/>
      </c>
      <c r="H129" s="45">
        <f>H55*$B$6+H66*$B$7</f>
        <v/>
      </c>
      <c r="I129" s="45">
        <f>I55*$B$6+I66*$B$7</f>
        <v/>
      </c>
      <c r="J129" s="45">
        <f>J55*$B$6+J66*$B$7</f>
        <v/>
      </c>
      <c r="K129" s="45">
        <f>K55*$B$6+K66*$B$7</f>
        <v/>
      </c>
      <c r="L129" s="45">
        <f>L55*$B$6+L66*$B$7</f>
        <v/>
      </c>
      <c r="M129" s="45">
        <f>M55*$B$6+M66*$B$7</f>
        <v/>
      </c>
      <c r="N129" s="45">
        <f>N55*$B$6+N66*$B$7</f>
        <v/>
      </c>
      <c r="O129" s="45">
        <f>O55*$B$6+O66*$B$7</f>
        <v/>
      </c>
      <c r="P129" s="45">
        <f>P55*$B$6+P66*$B$7</f>
        <v/>
      </c>
      <c r="Q129" s="45">
        <f>Q55*$B$6+Q66*$B$7</f>
        <v/>
      </c>
    </row>
  </sheetData>
  <conditionalFormatting sqref="C120:Q120">
    <cfRule type="expression" priority="1" dxfId="0">
      <formula>C120=MIN($C$120:$Q$120)</formula>
    </cfRule>
  </conditionalFormatting>
  <conditionalFormatting sqref="C121:Q121">
    <cfRule type="expression" priority="2" dxfId="0">
      <formula>C121="LOWEST"</formula>
    </cfRule>
  </conditionalFormatting>
  <conditionalFormatting sqref="C118:Q118">
    <cfRule type="expression" priority="3" dxfId="1">
      <formula>C118&lt;0</formula>
    </cfRule>
  </conditionalFormatting>
  <conditionalFormatting sqref="C54:Q54">
    <cfRule type="expression" priority="4" dxfId="2">
      <formula>C54&gt;0</formula>
    </cfRule>
  </conditionalFormatting>
  <conditionalFormatting sqref="C65:Q65">
    <cfRule type="expression" priority="5" dxfId="2">
      <formula>C65&gt;0</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29"/>
  <sheetViews>
    <sheetView tabSelected="0" workbookViewId="0">
      <pane xSplit="2" ySplit="23" topLeftCell="C24" activePane="bottomRight" state="frozen"/>
      <selection pane="topRight"/>
      <selection pane="bottomLeft"/>
      <selection pane="bottomRight" activeCell="A1" sqref="A1"/>
    </sheetView>
  </sheetViews>
  <sheetFormatPr baseColWidth="8" defaultRowHeight="15"/>
  <cols>
    <col width="58" customWidth="1" min="1" max="1"/>
    <col width="16"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3" customWidth="1" min="18" max="18"/>
  </cols>
  <sheetData>
    <row r="1">
      <c r="A1" s="5" t="inlineStr">
        <is>
          <t>Calculation copy: Standard runs, Base demand (feeds Scenarios; do not edit)</t>
        </is>
      </c>
    </row>
    <row r="2">
      <c r="A2" s="6" t="inlineStr">
        <is>
          <t>Months Oct 2026 to Dec 2027. All figures are projections from the Inputs sheet, not actual results. Cash view: inventory is a cash outflow when bought; COGS appears only in the operating view at the bottom.</t>
        </is>
      </c>
    </row>
    <row r="3">
      <c r="A3" s="10" t="inlineStr">
        <is>
          <t>Run-size mode</t>
        </is>
      </c>
      <c r="B3" s="30">
        <f>"Standard"</f>
        <v/>
      </c>
    </row>
    <row r="4">
      <c r="A4" s="10" t="inlineStr">
        <is>
          <t>Demand multiplier</t>
        </is>
      </c>
      <c r="B4" s="31">
        <f>in_MultBase</f>
        <v/>
      </c>
    </row>
    <row r="5">
      <c r="A5" s="10" t="inlineStr">
        <is>
          <t>Demand case</t>
        </is>
      </c>
      <c r="B5" s="30">
        <f>"Base"</f>
        <v/>
      </c>
    </row>
    <row r="6">
      <c r="A6" s="10" t="inlineStr">
        <is>
          <t>Pouch cost of goods (by mode)</t>
        </is>
      </c>
      <c r="B6" s="32">
        <f>IF($B$3="Lean",in_CogsLean,in_CogsStd)</f>
        <v/>
      </c>
    </row>
    <row r="7">
      <c r="A7" s="10" t="inlineStr">
        <is>
          <t>Stick cost of goods (by mode)</t>
        </is>
      </c>
      <c r="B7" s="32">
        <f>IF($B$3="Lean",in_StickCogsLean,in_StickCogsStd)</f>
        <v/>
      </c>
    </row>
    <row r="8">
      <c r="A8" s="10" t="inlineStr">
        <is>
          <t>Pouch run size (by mode)</t>
        </is>
      </c>
      <c r="B8" s="33">
        <f>IF($B$3="Lean",in_RunLean,in_RunStd)</f>
        <v/>
      </c>
    </row>
    <row r="9">
      <c r="A9" s="10" t="inlineStr">
        <is>
          <t>Stick run size (by mode)</t>
        </is>
      </c>
      <c r="B9" s="33">
        <f>IF($B$3="Lean",in_StickRunLean,in_StickRunStd)</f>
        <v/>
      </c>
    </row>
    <row r="10">
      <c r="A10" s="10" t="inlineStr">
        <is>
          <t>Sample credit on first order (by mode)</t>
        </is>
      </c>
      <c r="B10" s="34">
        <f>IF($B$3="Lean",in_SampleCreditLean,in_SampleCreditStd)</f>
        <v/>
      </c>
    </row>
    <row r="12">
      <c r="A12" s="7" t="inlineStr">
        <is>
          <t>Summary for this sheet's mode and case</t>
        </is>
      </c>
      <c r="B12" s="8" t="n"/>
    </row>
    <row r="13">
      <c r="A13" s="10" t="inlineStr">
        <is>
          <t>Lowest cash balance</t>
        </is>
      </c>
      <c r="B13" s="35">
        <f>MIN($C$120:$Q$120)</f>
        <v/>
      </c>
    </row>
    <row r="14">
      <c r="A14" s="10" t="inlineStr">
        <is>
          <t>Month of lowest cash balance</t>
        </is>
      </c>
      <c r="B14" s="36">
        <f>INDEX($C$23:$Q$23,MATCH(MIN($C$120:$Q$120),$C$120:$Q$120,0))</f>
        <v/>
      </c>
    </row>
    <row r="15">
      <c r="A15" s="10" t="inlineStr">
        <is>
          <t>Peak funding need (lowest cumulative net cash flow)</t>
        </is>
      </c>
      <c r="B15" s="35">
        <f>MIN(0,MIN($C$119:$Q$119))</f>
        <v/>
      </c>
    </row>
    <row r="16">
      <c r="A16" s="10" t="inlineStr">
        <is>
          <t>Operating break-even month (first month operating profit &gt;= 0)</t>
        </is>
      </c>
      <c r="B16" s="36">
        <f>IFERROR(INDEX($C$23:$Q$23,MATCH(1,$C$127:$Q$127,0)),"Not by Dec 2027")</f>
        <v/>
      </c>
    </row>
    <row r="17">
      <c r="A17" s="10" t="inlineStr">
        <is>
          <t>Cash payback month (cumulative net cash flow back to &gt;= 0)</t>
        </is>
      </c>
      <c r="B17" s="36">
        <f>IFERROR(INDEX($C$23:$Q$23,MATCH(1,$C$128:$Q$128,0)),"Not by Dec 2027")</f>
        <v/>
      </c>
    </row>
    <row r="18">
      <c r="A18" s="10" t="inlineStr">
        <is>
          <t>Cash balance, end of Jun 2027</t>
        </is>
      </c>
      <c r="B18" s="35">
        <f>IFERROR(INDEX($C$120:$Q$120,MATCH(DATE(2027,6,1),$C$23:$Q$23,0)),"n/a")</f>
        <v/>
      </c>
    </row>
    <row r="19">
      <c r="A19" s="10" t="inlineStr">
        <is>
          <t>Cash balance, end of Dec 2027</t>
        </is>
      </c>
      <c r="B19" s="35">
        <f>IFERROR(INDEX($C$120:$Q$120,MATCH(DATE(2027,12,1),$C$23:$Q$23,0)),"n/a")</f>
        <v/>
      </c>
    </row>
    <row r="20">
      <c r="A20" s="10" t="inlineStr">
        <is>
          <t>Stockout check (pouch + stick units short; should be 0)</t>
        </is>
      </c>
      <c r="B20" s="37">
        <f>SUM($C$54:$Q$54)+SUM($C$65:$Q$65)</f>
        <v/>
      </c>
    </row>
    <row r="21">
      <c r="A21" s="10" t="inlineStr">
        <is>
          <t>Operating profit, Oct 2026 to Dec 2027 (launch costs excluded)</t>
        </is>
      </c>
      <c r="B21" s="35">
        <f>SUM($C$126:$Q$126)</f>
        <v/>
      </c>
    </row>
    <row r="23">
      <c r="A23" s="9" t="inlineStr">
        <is>
          <t>Line</t>
        </is>
      </c>
      <c r="B23" s="9" t="inlineStr">
        <is>
          <t>Note</t>
        </is>
      </c>
      <c r="C23" s="38">
        <f>DATE(YEAR(in_ModelStart),MONTH(in_ModelStart),1)</f>
        <v/>
      </c>
      <c r="D23" s="38">
        <f>EDATE(C23,1)</f>
        <v/>
      </c>
      <c r="E23" s="38">
        <f>EDATE(D23,1)</f>
        <v/>
      </c>
      <c r="F23" s="38">
        <f>EDATE(E23,1)</f>
        <v/>
      </c>
      <c r="G23" s="38">
        <f>EDATE(F23,1)</f>
        <v/>
      </c>
      <c r="H23" s="38">
        <f>EDATE(G23,1)</f>
        <v/>
      </c>
      <c r="I23" s="38">
        <f>EDATE(H23,1)</f>
        <v/>
      </c>
      <c r="J23" s="38">
        <f>EDATE(I23,1)</f>
        <v/>
      </c>
      <c r="K23" s="38">
        <f>EDATE(J23,1)</f>
        <v/>
      </c>
      <c r="L23" s="38">
        <f>EDATE(K23,1)</f>
        <v/>
      </c>
      <c r="M23" s="38">
        <f>EDATE(L23,1)</f>
        <v/>
      </c>
      <c r="N23" s="38">
        <f>EDATE(M23,1)</f>
        <v/>
      </c>
      <c r="O23" s="38">
        <f>EDATE(N23,1)</f>
        <v/>
      </c>
      <c r="P23" s="38">
        <f>EDATE(O23,1)</f>
        <v/>
      </c>
      <c r="Q23" s="38">
        <f>EDATE(P23,1)</f>
        <v/>
      </c>
      <c r="R23" s="9" t="inlineStr">
        <is>
          <t>Total</t>
        </is>
      </c>
    </row>
    <row r="24">
      <c r="A24" s="10" t="inlineStr">
        <is>
          <t>Selling? (1 from the first ship month)</t>
        </is>
      </c>
      <c r="C24" s="39">
        <f>IF(C$23&gt;=DATE(YEAR(in_FirstShip),MONTH(in_FirstShip),1),1,0)</f>
        <v/>
      </c>
      <c r="D24" s="39">
        <f>IF(D$23&gt;=DATE(YEAR(in_FirstShip),MONTH(in_FirstShip),1),1,0)</f>
        <v/>
      </c>
      <c r="E24" s="39">
        <f>IF(E$23&gt;=DATE(YEAR(in_FirstShip),MONTH(in_FirstShip),1),1,0)</f>
        <v/>
      </c>
      <c r="F24" s="39">
        <f>IF(F$23&gt;=DATE(YEAR(in_FirstShip),MONTH(in_FirstShip),1),1,0)</f>
        <v/>
      </c>
      <c r="G24" s="39">
        <f>IF(G$23&gt;=DATE(YEAR(in_FirstShip),MONTH(in_FirstShip),1),1,0)</f>
        <v/>
      </c>
      <c r="H24" s="39">
        <f>IF(H$23&gt;=DATE(YEAR(in_FirstShip),MONTH(in_FirstShip),1),1,0)</f>
        <v/>
      </c>
      <c r="I24" s="39">
        <f>IF(I$23&gt;=DATE(YEAR(in_FirstShip),MONTH(in_FirstShip),1),1,0)</f>
        <v/>
      </c>
      <c r="J24" s="39">
        <f>IF(J$23&gt;=DATE(YEAR(in_FirstShip),MONTH(in_FirstShip),1),1,0)</f>
        <v/>
      </c>
      <c r="K24" s="39">
        <f>IF(K$23&gt;=DATE(YEAR(in_FirstShip),MONTH(in_FirstShip),1),1,0)</f>
        <v/>
      </c>
      <c r="L24" s="39">
        <f>IF(L$23&gt;=DATE(YEAR(in_FirstShip),MONTH(in_FirstShip),1),1,0)</f>
        <v/>
      </c>
      <c r="M24" s="39">
        <f>IF(M$23&gt;=DATE(YEAR(in_FirstShip),MONTH(in_FirstShip),1),1,0)</f>
        <v/>
      </c>
      <c r="N24" s="39">
        <f>IF(N$23&gt;=DATE(YEAR(in_FirstShip),MONTH(in_FirstShip),1),1,0)</f>
        <v/>
      </c>
      <c r="O24" s="39">
        <f>IF(O$23&gt;=DATE(YEAR(in_FirstShip),MONTH(in_FirstShip),1),1,0)</f>
        <v/>
      </c>
      <c r="P24" s="39">
        <f>IF(P$23&gt;=DATE(YEAR(in_FirstShip),MONTH(in_FirstShip),1),1,0)</f>
        <v/>
      </c>
      <c r="Q24" s="39">
        <f>IF(Q$23&gt;=DATE(YEAR(in_FirstShip),MONTH(in_FirstShip),1),1,0)</f>
        <v/>
      </c>
    </row>
    <row r="26">
      <c r="A26" s="7" t="inlineStr">
        <is>
          <t>DTC customers and orders</t>
        </is>
      </c>
      <c r="B26" s="8" t="n"/>
      <c r="C26" s="8" t="n"/>
      <c r="D26" s="8" t="n"/>
      <c r="E26" s="8" t="n"/>
      <c r="F26" s="8" t="n"/>
      <c r="G26" s="8" t="n"/>
      <c r="H26" s="8" t="n"/>
      <c r="I26" s="8" t="n"/>
      <c r="J26" s="8" t="n"/>
      <c r="K26" s="8" t="n"/>
      <c r="L26" s="8" t="n"/>
      <c r="M26" s="8" t="n"/>
      <c r="N26" s="8" t="n"/>
      <c r="O26" s="8" t="n"/>
      <c r="P26" s="8" t="n"/>
      <c r="Q26" s="8" t="n"/>
      <c r="R26" s="8" t="n"/>
    </row>
    <row r="27">
      <c r="A27" s="10" t="inlineStr">
        <is>
          <t>Waitlist first orders (first ship month only)</t>
        </is>
      </c>
      <c r="B27" s="6" t="inlineStr">
        <is>
          <t>Waitlist x conversion</t>
        </is>
      </c>
      <c r="C27" s="40">
        <f>IF(EOMONTH(in_FirstShip,0)=EOMONTH(C$23,0),in_WaitSize*in_WaitConv*$B$4,0)</f>
        <v/>
      </c>
      <c r="D27" s="40">
        <f>IF(EOMONTH(in_FirstShip,0)=EOMONTH(D$23,0),in_WaitSize*in_WaitConv*$B$4,0)</f>
        <v/>
      </c>
      <c r="E27" s="40">
        <f>IF(EOMONTH(in_FirstShip,0)=EOMONTH(E$23,0),in_WaitSize*in_WaitConv*$B$4,0)</f>
        <v/>
      </c>
      <c r="F27" s="40">
        <f>IF(EOMONTH(in_FirstShip,0)=EOMONTH(F$23,0),in_WaitSize*in_WaitConv*$B$4,0)</f>
        <v/>
      </c>
      <c r="G27" s="40">
        <f>IF(EOMONTH(in_FirstShip,0)=EOMONTH(G$23,0),in_WaitSize*in_WaitConv*$B$4,0)</f>
        <v/>
      </c>
      <c r="H27" s="40">
        <f>IF(EOMONTH(in_FirstShip,0)=EOMONTH(H$23,0),in_WaitSize*in_WaitConv*$B$4,0)</f>
        <v/>
      </c>
      <c r="I27" s="40">
        <f>IF(EOMONTH(in_FirstShip,0)=EOMONTH(I$23,0),in_WaitSize*in_WaitConv*$B$4,0)</f>
        <v/>
      </c>
      <c r="J27" s="40">
        <f>IF(EOMONTH(in_FirstShip,0)=EOMONTH(J$23,0),in_WaitSize*in_WaitConv*$B$4,0)</f>
        <v/>
      </c>
      <c r="K27" s="40">
        <f>IF(EOMONTH(in_FirstShip,0)=EOMONTH(K$23,0),in_WaitSize*in_WaitConv*$B$4,0)</f>
        <v/>
      </c>
      <c r="L27" s="40">
        <f>IF(EOMONTH(in_FirstShip,0)=EOMONTH(L$23,0),in_WaitSize*in_WaitConv*$B$4,0)</f>
        <v/>
      </c>
      <c r="M27" s="40">
        <f>IF(EOMONTH(in_FirstShip,0)=EOMONTH(M$23,0),in_WaitSize*in_WaitConv*$B$4,0)</f>
        <v/>
      </c>
      <c r="N27" s="40">
        <f>IF(EOMONTH(in_FirstShip,0)=EOMONTH(N$23,0),in_WaitSize*in_WaitConv*$B$4,0)</f>
        <v/>
      </c>
      <c r="O27" s="40">
        <f>IF(EOMONTH(in_FirstShip,0)=EOMONTH(O$23,0),in_WaitSize*in_WaitConv*$B$4,0)</f>
        <v/>
      </c>
      <c r="P27" s="40">
        <f>IF(EOMONTH(in_FirstShip,0)=EOMONTH(P$23,0),in_WaitSize*in_WaitConv*$B$4,0)</f>
        <v/>
      </c>
      <c r="Q27" s="40">
        <f>IF(EOMONTH(in_FirstShip,0)=EOMONTH(Q$23,0),in_WaitSize*in_WaitConv*$B$4,0)</f>
        <v/>
      </c>
      <c r="R27" s="41">
        <f>SUM(C27:Q27)</f>
        <v/>
      </c>
    </row>
    <row r="28">
      <c r="A28" s="10" t="inlineStr">
        <is>
          <t>Organic new customers</t>
        </is>
      </c>
      <c r="C28" s="40">
        <f>IFERROR(INDEX(Inputs!$B$98:$B$107,MATCH(C$23,Inputs!$A$98:$A$107,0)),0)*$B$4*C24</f>
        <v/>
      </c>
      <c r="D28" s="40">
        <f>IFERROR(INDEX(Inputs!$B$98:$B$107,MATCH(D$23,Inputs!$A$98:$A$107,0)),0)*$B$4*D24</f>
        <v/>
      </c>
      <c r="E28" s="40">
        <f>IFERROR(INDEX(Inputs!$B$98:$B$107,MATCH(E$23,Inputs!$A$98:$A$107,0)),0)*$B$4*E24</f>
        <v/>
      </c>
      <c r="F28" s="40">
        <f>IFERROR(INDEX(Inputs!$B$98:$B$107,MATCH(F$23,Inputs!$A$98:$A$107,0)),0)*$B$4*F24</f>
        <v/>
      </c>
      <c r="G28" s="40">
        <f>IFERROR(INDEX(Inputs!$B$98:$B$107,MATCH(G$23,Inputs!$A$98:$A$107,0)),0)*$B$4*G24</f>
        <v/>
      </c>
      <c r="H28" s="40">
        <f>IFERROR(INDEX(Inputs!$B$98:$B$107,MATCH(H$23,Inputs!$A$98:$A$107,0)),0)*$B$4*H24</f>
        <v/>
      </c>
      <c r="I28" s="40">
        <f>IFERROR(INDEX(Inputs!$B$98:$B$107,MATCH(I$23,Inputs!$A$98:$A$107,0)),0)*$B$4*I24</f>
        <v/>
      </c>
      <c r="J28" s="40">
        <f>IFERROR(INDEX(Inputs!$B$98:$B$107,MATCH(J$23,Inputs!$A$98:$A$107,0)),0)*$B$4*J24</f>
        <v/>
      </c>
      <c r="K28" s="40">
        <f>IFERROR(INDEX(Inputs!$B$98:$B$107,MATCH(K$23,Inputs!$A$98:$A$107,0)),0)*$B$4*K24</f>
        <v/>
      </c>
      <c r="L28" s="40">
        <f>IFERROR(INDEX(Inputs!$B$98:$B$107,MATCH(L$23,Inputs!$A$98:$A$107,0)),0)*$B$4*L24</f>
        <v/>
      </c>
      <c r="M28" s="40">
        <f>IFERROR(INDEX(Inputs!$B$98:$B$107,MATCH(M$23,Inputs!$A$98:$A$107,0)),0)*$B$4*M24</f>
        <v/>
      </c>
      <c r="N28" s="40">
        <f>IFERROR(INDEX(Inputs!$B$98:$B$107,MATCH(N$23,Inputs!$A$98:$A$107,0)),0)*$B$4*N24</f>
        <v/>
      </c>
      <c r="O28" s="40">
        <f>IFERROR(INDEX(Inputs!$B$98:$B$107,MATCH(O$23,Inputs!$A$98:$A$107,0)),0)*$B$4*O24</f>
        <v/>
      </c>
      <c r="P28" s="40">
        <f>IFERROR(INDEX(Inputs!$B$98:$B$107,MATCH(P$23,Inputs!$A$98:$A$107,0)),0)*$B$4*P24</f>
        <v/>
      </c>
      <c r="Q28" s="40">
        <f>IFERROR(INDEX(Inputs!$B$98:$B$107,MATCH(Q$23,Inputs!$A$98:$A$107,0)),0)*$B$4*Q24</f>
        <v/>
      </c>
      <c r="R28" s="41">
        <f>SUM(C28:Q28)</f>
        <v/>
      </c>
    </row>
    <row r="29">
      <c r="A29" s="10" t="inlineStr">
        <is>
          <t>Paid new customers</t>
        </is>
      </c>
      <c r="C29" s="40">
        <f>IFERROR(INDEX(Inputs!$C$98:$C$107,MATCH(C$23,Inputs!$A$98:$A$107,0)),0)*$B$4*C24</f>
        <v/>
      </c>
      <c r="D29" s="40">
        <f>IFERROR(INDEX(Inputs!$C$98:$C$107,MATCH(D$23,Inputs!$A$98:$A$107,0)),0)*$B$4*D24</f>
        <v/>
      </c>
      <c r="E29" s="40">
        <f>IFERROR(INDEX(Inputs!$C$98:$C$107,MATCH(E$23,Inputs!$A$98:$A$107,0)),0)*$B$4*E24</f>
        <v/>
      </c>
      <c r="F29" s="40">
        <f>IFERROR(INDEX(Inputs!$C$98:$C$107,MATCH(F$23,Inputs!$A$98:$A$107,0)),0)*$B$4*F24</f>
        <v/>
      </c>
      <c r="G29" s="40">
        <f>IFERROR(INDEX(Inputs!$C$98:$C$107,MATCH(G$23,Inputs!$A$98:$A$107,0)),0)*$B$4*G24</f>
        <v/>
      </c>
      <c r="H29" s="40">
        <f>IFERROR(INDEX(Inputs!$C$98:$C$107,MATCH(H$23,Inputs!$A$98:$A$107,0)),0)*$B$4*H24</f>
        <v/>
      </c>
      <c r="I29" s="40">
        <f>IFERROR(INDEX(Inputs!$C$98:$C$107,MATCH(I$23,Inputs!$A$98:$A$107,0)),0)*$B$4*I24</f>
        <v/>
      </c>
      <c r="J29" s="40">
        <f>IFERROR(INDEX(Inputs!$C$98:$C$107,MATCH(J$23,Inputs!$A$98:$A$107,0)),0)*$B$4*J24</f>
        <v/>
      </c>
      <c r="K29" s="40">
        <f>IFERROR(INDEX(Inputs!$C$98:$C$107,MATCH(K$23,Inputs!$A$98:$A$107,0)),0)*$B$4*K24</f>
        <v/>
      </c>
      <c r="L29" s="40">
        <f>IFERROR(INDEX(Inputs!$C$98:$C$107,MATCH(L$23,Inputs!$A$98:$A$107,0)),0)*$B$4*L24</f>
        <v/>
      </c>
      <c r="M29" s="40">
        <f>IFERROR(INDEX(Inputs!$C$98:$C$107,MATCH(M$23,Inputs!$A$98:$A$107,0)),0)*$B$4*M24</f>
        <v/>
      </c>
      <c r="N29" s="40">
        <f>IFERROR(INDEX(Inputs!$C$98:$C$107,MATCH(N$23,Inputs!$A$98:$A$107,0)),0)*$B$4*N24</f>
        <v/>
      </c>
      <c r="O29" s="40">
        <f>IFERROR(INDEX(Inputs!$C$98:$C$107,MATCH(O$23,Inputs!$A$98:$A$107,0)),0)*$B$4*O24</f>
        <v/>
      </c>
      <c r="P29" s="40">
        <f>IFERROR(INDEX(Inputs!$C$98:$C$107,MATCH(P$23,Inputs!$A$98:$A$107,0)),0)*$B$4*P24</f>
        <v/>
      </c>
      <c r="Q29" s="40">
        <f>IFERROR(INDEX(Inputs!$C$98:$C$107,MATCH(Q$23,Inputs!$A$98:$A$107,0)),0)*$B$4*Q24</f>
        <v/>
      </c>
      <c r="R29" s="41">
        <f>SUM(C29:Q29)</f>
        <v/>
      </c>
    </row>
    <row r="30">
      <c r="A30" s="26" t="inlineStr">
        <is>
          <t>Total new DTC customers</t>
        </is>
      </c>
      <c r="C30" s="42">
        <f>C27+C28+C29</f>
        <v/>
      </c>
      <c r="D30" s="42">
        <f>D27+D28+D29</f>
        <v/>
      </c>
      <c r="E30" s="42">
        <f>E27+E28+E29</f>
        <v/>
      </c>
      <c r="F30" s="42">
        <f>F27+F28+F29</f>
        <v/>
      </c>
      <c r="G30" s="42">
        <f>G27+G28+G29</f>
        <v/>
      </c>
      <c r="H30" s="42">
        <f>H27+H28+H29</f>
        <v/>
      </c>
      <c r="I30" s="42">
        <f>I27+I28+I29</f>
        <v/>
      </c>
      <c r="J30" s="42">
        <f>J27+J28+J29</f>
        <v/>
      </c>
      <c r="K30" s="42">
        <f>K27+K28+K29</f>
        <v/>
      </c>
      <c r="L30" s="42">
        <f>L27+L28+L29</f>
        <v/>
      </c>
      <c r="M30" s="42">
        <f>M27+M28+M29</f>
        <v/>
      </c>
      <c r="N30" s="42">
        <f>N27+N28+N29</f>
        <v/>
      </c>
      <c r="O30" s="42">
        <f>O27+O28+O29</f>
        <v/>
      </c>
      <c r="P30" s="42">
        <f>P27+P28+P29</f>
        <v/>
      </c>
      <c r="Q30" s="42">
        <f>Q27+Q28+Q29</f>
        <v/>
      </c>
      <c r="R30" s="41">
        <f>SUM(C30:Q30)</f>
        <v/>
      </c>
    </row>
    <row r="31">
      <c r="A31" s="10" t="inlineStr">
        <is>
          <t>New subscribers</t>
        </is>
      </c>
      <c r="C31" s="40">
        <f>C30*in_SubShare</f>
        <v/>
      </c>
      <c r="D31" s="40">
        <f>D30*in_SubShare</f>
        <v/>
      </c>
      <c r="E31" s="40">
        <f>E30*in_SubShare</f>
        <v/>
      </c>
      <c r="F31" s="40">
        <f>F30*in_SubShare</f>
        <v/>
      </c>
      <c r="G31" s="40">
        <f>G30*in_SubShare</f>
        <v/>
      </c>
      <c r="H31" s="40">
        <f>H30*in_SubShare</f>
        <v/>
      </c>
      <c r="I31" s="40">
        <f>I30*in_SubShare</f>
        <v/>
      </c>
      <c r="J31" s="40">
        <f>J30*in_SubShare</f>
        <v/>
      </c>
      <c r="K31" s="40">
        <f>K30*in_SubShare</f>
        <v/>
      </c>
      <c r="L31" s="40">
        <f>L30*in_SubShare</f>
        <v/>
      </c>
      <c r="M31" s="40">
        <f>M30*in_SubShare</f>
        <v/>
      </c>
      <c r="N31" s="40">
        <f>N30*in_SubShare</f>
        <v/>
      </c>
      <c r="O31" s="40">
        <f>O30*in_SubShare</f>
        <v/>
      </c>
      <c r="P31" s="40">
        <f>P30*in_SubShare</f>
        <v/>
      </c>
      <c r="Q31" s="40">
        <f>Q30*in_SubShare</f>
        <v/>
      </c>
      <c r="R31" s="41">
        <f>SUM(C31:Q31)</f>
        <v/>
      </c>
    </row>
    <row r="32">
      <c r="A32" s="10" t="inlineStr">
        <is>
          <t>Active subscribers, end of month (= subscription orders)</t>
        </is>
      </c>
      <c r="B32" s="6" t="inlineStr">
        <is>
          <t>1 pouch/month each</t>
        </is>
      </c>
      <c r="C32" s="40">
        <f>C31</f>
        <v/>
      </c>
      <c r="D32" s="40">
        <f>C32*(1-in_SubChurn)+D31</f>
        <v/>
      </c>
      <c r="E32" s="40">
        <f>D32*(1-in_SubChurn)+E31</f>
        <v/>
      </c>
      <c r="F32" s="40">
        <f>E32*(1-in_SubChurn)+F31</f>
        <v/>
      </c>
      <c r="G32" s="40">
        <f>F32*(1-in_SubChurn)+G31</f>
        <v/>
      </c>
      <c r="H32" s="40">
        <f>G32*(1-in_SubChurn)+H31</f>
        <v/>
      </c>
      <c r="I32" s="40">
        <f>H32*(1-in_SubChurn)+I31</f>
        <v/>
      </c>
      <c r="J32" s="40">
        <f>I32*(1-in_SubChurn)+J31</f>
        <v/>
      </c>
      <c r="K32" s="40">
        <f>J32*(1-in_SubChurn)+K31</f>
        <v/>
      </c>
      <c r="L32" s="40">
        <f>K32*(1-in_SubChurn)+L31</f>
        <v/>
      </c>
      <c r="M32" s="40">
        <f>L32*(1-in_SubChurn)+M31</f>
        <v/>
      </c>
      <c r="N32" s="40">
        <f>M32*(1-in_SubChurn)+N31</f>
        <v/>
      </c>
      <c r="O32" s="40">
        <f>N32*(1-in_SubChurn)+O31</f>
        <v/>
      </c>
      <c r="P32" s="40">
        <f>O32*(1-in_SubChurn)+P31</f>
        <v/>
      </c>
      <c r="Q32" s="40">
        <f>P32*(1-in_SubChurn)+Q31</f>
        <v/>
      </c>
    </row>
    <row r="33">
      <c r="A33" s="10" t="inlineStr">
        <is>
          <t>One-off first orders</t>
        </is>
      </c>
      <c r="C33" s="40">
        <f>C30*(1-in_SubShare)</f>
        <v/>
      </c>
      <c r="D33" s="40">
        <f>D30*(1-in_SubShare)</f>
        <v/>
      </c>
      <c r="E33" s="40">
        <f>E30*(1-in_SubShare)</f>
        <v/>
      </c>
      <c r="F33" s="40">
        <f>F30*(1-in_SubShare)</f>
        <v/>
      </c>
      <c r="G33" s="40">
        <f>G30*(1-in_SubShare)</f>
        <v/>
      </c>
      <c r="H33" s="40">
        <f>H30*(1-in_SubShare)</f>
        <v/>
      </c>
      <c r="I33" s="40">
        <f>I30*(1-in_SubShare)</f>
        <v/>
      </c>
      <c r="J33" s="40">
        <f>J30*(1-in_SubShare)</f>
        <v/>
      </c>
      <c r="K33" s="40">
        <f>K30*(1-in_SubShare)</f>
        <v/>
      </c>
      <c r="L33" s="40">
        <f>L30*(1-in_SubShare)</f>
        <v/>
      </c>
      <c r="M33" s="40">
        <f>M30*(1-in_SubShare)</f>
        <v/>
      </c>
      <c r="N33" s="40">
        <f>N30*(1-in_SubShare)</f>
        <v/>
      </c>
      <c r="O33" s="40">
        <f>O30*(1-in_SubShare)</f>
        <v/>
      </c>
      <c r="P33" s="40">
        <f>P30*(1-in_SubShare)</f>
        <v/>
      </c>
      <c r="Q33" s="40">
        <f>Q30*(1-in_SubShare)</f>
        <v/>
      </c>
      <c r="R33" s="41">
        <f>SUM(C33:Q33)</f>
        <v/>
      </c>
    </row>
    <row r="34">
      <c r="A34" s="10" t="inlineStr">
        <is>
          <t>One-off repeat orders</t>
        </is>
      </c>
      <c r="C34" s="40">
        <f>0</f>
        <v/>
      </c>
      <c r="D34" s="40">
        <f>C35*in_Repeat</f>
        <v/>
      </c>
      <c r="E34" s="40">
        <f>D35*in_Repeat</f>
        <v/>
      </c>
      <c r="F34" s="40">
        <f>E35*in_Repeat</f>
        <v/>
      </c>
      <c r="G34" s="40">
        <f>F35*in_Repeat</f>
        <v/>
      </c>
      <c r="H34" s="40">
        <f>G35*in_Repeat</f>
        <v/>
      </c>
      <c r="I34" s="40">
        <f>H35*in_Repeat</f>
        <v/>
      </c>
      <c r="J34" s="40">
        <f>I35*in_Repeat</f>
        <v/>
      </c>
      <c r="K34" s="40">
        <f>J35*in_Repeat</f>
        <v/>
      </c>
      <c r="L34" s="40">
        <f>K35*in_Repeat</f>
        <v/>
      </c>
      <c r="M34" s="40">
        <f>L35*in_Repeat</f>
        <v/>
      </c>
      <c r="N34" s="40">
        <f>M35*in_Repeat</f>
        <v/>
      </c>
      <c r="O34" s="40">
        <f>N35*in_Repeat</f>
        <v/>
      </c>
      <c r="P34" s="40">
        <f>O35*in_Repeat</f>
        <v/>
      </c>
      <c r="Q34" s="40">
        <f>P35*in_Repeat</f>
        <v/>
      </c>
      <c r="R34" s="41">
        <f>SUM(C34:Q34)</f>
        <v/>
      </c>
    </row>
    <row r="35">
      <c r="A35" s="26" t="inlineStr">
        <is>
          <t>Total one-off pouch orders</t>
        </is>
      </c>
      <c r="C35" s="42">
        <f>C33+C34</f>
        <v/>
      </c>
      <c r="D35" s="42">
        <f>D33+D34</f>
        <v/>
      </c>
      <c r="E35" s="42">
        <f>E33+E34</f>
        <v/>
      </c>
      <c r="F35" s="42">
        <f>F33+F34</f>
        <v/>
      </c>
      <c r="G35" s="42">
        <f>G33+G34</f>
        <v/>
      </c>
      <c r="H35" s="42">
        <f>H33+H34</f>
        <v/>
      </c>
      <c r="I35" s="42">
        <f>I33+I34</f>
        <v/>
      </c>
      <c r="J35" s="42">
        <f>J33+J34</f>
        <v/>
      </c>
      <c r="K35" s="42">
        <f>K33+K34</f>
        <v/>
      </c>
      <c r="L35" s="42">
        <f>L33+L34</f>
        <v/>
      </c>
      <c r="M35" s="42">
        <f>M33+M34</f>
        <v/>
      </c>
      <c r="N35" s="42">
        <f>N33+N34</f>
        <v/>
      </c>
      <c r="O35" s="42">
        <f>O33+O34</f>
        <v/>
      </c>
      <c r="P35" s="42">
        <f>P33+P34</f>
        <v/>
      </c>
      <c r="Q35" s="42">
        <f>Q33+Q34</f>
        <v/>
      </c>
      <c r="R35" s="41">
        <f>SUM(C35:Q35)</f>
        <v/>
      </c>
    </row>
    <row r="36">
      <c r="A36" s="26" t="inlineStr">
        <is>
          <t>Total DTC pouch orders (one-off + subscription)</t>
        </is>
      </c>
      <c r="C36" s="42">
        <f>C35+C32</f>
        <v/>
      </c>
      <c r="D36" s="42">
        <f>D35+D32</f>
        <v/>
      </c>
      <c r="E36" s="42">
        <f>E35+E32</f>
        <v/>
      </c>
      <c r="F36" s="42">
        <f>F35+F32</f>
        <v/>
      </c>
      <c r="G36" s="42">
        <f>G35+G32</f>
        <v/>
      </c>
      <c r="H36" s="42">
        <f>H35+H32</f>
        <v/>
      </c>
      <c r="I36" s="42">
        <f>I35+I32</f>
        <v/>
      </c>
      <c r="J36" s="42">
        <f>J35+J32</f>
        <v/>
      </c>
      <c r="K36" s="42">
        <f>K35+K32</f>
        <v/>
      </c>
      <c r="L36" s="42">
        <f>L35+L32</f>
        <v/>
      </c>
      <c r="M36" s="42">
        <f>M35+M32</f>
        <v/>
      </c>
      <c r="N36" s="42">
        <f>N35+N32</f>
        <v/>
      </c>
      <c r="O36" s="42">
        <f>O35+O32</f>
        <v/>
      </c>
      <c r="P36" s="42">
        <f>P35+P32</f>
        <v/>
      </c>
      <c r="Q36" s="42">
        <f>Q35+Q32</f>
        <v/>
      </c>
      <c r="R36" s="41">
        <f>SUM(C36:Q36)</f>
        <v/>
      </c>
    </row>
    <row r="37">
      <c r="A37" s="10" t="inlineStr">
        <is>
          <t>DTC stick-box orders</t>
        </is>
      </c>
      <c r="C37" s="40">
        <f>C36*in_StickAttach</f>
        <v/>
      </c>
      <c r="D37" s="40">
        <f>D36*in_StickAttach</f>
        <v/>
      </c>
      <c r="E37" s="40">
        <f>E36*in_StickAttach</f>
        <v/>
      </c>
      <c r="F37" s="40">
        <f>F36*in_StickAttach</f>
        <v/>
      </c>
      <c r="G37" s="40">
        <f>G36*in_StickAttach</f>
        <v/>
      </c>
      <c r="H37" s="40">
        <f>H36*in_StickAttach</f>
        <v/>
      </c>
      <c r="I37" s="40">
        <f>I36*in_StickAttach</f>
        <v/>
      </c>
      <c r="J37" s="40">
        <f>J36*in_StickAttach</f>
        <v/>
      </c>
      <c r="K37" s="40">
        <f>K36*in_StickAttach</f>
        <v/>
      </c>
      <c r="L37" s="40">
        <f>L36*in_StickAttach</f>
        <v/>
      </c>
      <c r="M37" s="40">
        <f>M36*in_StickAttach</f>
        <v/>
      </c>
      <c r="N37" s="40">
        <f>N36*in_StickAttach</f>
        <v/>
      </c>
      <c r="O37" s="40">
        <f>O36*in_StickAttach</f>
        <v/>
      </c>
      <c r="P37" s="40">
        <f>P36*in_StickAttach</f>
        <v/>
      </c>
      <c r="Q37" s="40">
        <f>Q36*in_StickAttach</f>
        <v/>
      </c>
      <c r="R37" s="41">
        <f>SUM(C37:Q37)</f>
        <v/>
      </c>
    </row>
    <row r="39">
      <c r="A39" s="7" t="inlineStr">
        <is>
          <t>Wholesale (direct to stores)</t>
        </is>
      </c>
      <c r="B39" s="8" t="n"/>
      <c r="C39" s="8" t="n"/>
      <c r="D39" s="8" t="n"/>
      <c r="E39" s="8" t="n"/>
      <c r="F39" s="8" t="n"/>
      <c r="G39" s="8" t="n"/>
      <c r="H39" s="8" t="n"/>
      <c r="I39" s="8" t="n"/>
      <c r="J39" s="8" t="n"/>
      <c r="K39" s="8" t="n"/>
      <c r="L39" s="8" t="n"/>
      <c r="M39" s="8" t="n"/>
      <c r="N39" s="8" t="n"/>
      <c r="O39" s="8" t="n"/>
      <c r="P39" s="8" t="n"/>
      <c r="Q39" s="8" t="n"/>
      <c r="R39" s="8" t="n"/>
    </row>
    <row r="40">
      <c r="A40" s="10" t="inlineStr">
        <is>
          <t>New store accounts</t>
        </is>
      </c>
      <c r="C40" s="40">
        <f>IFERROR(INDEX(Inputs!$D$98:$D$107,MATCH(C$23,Inputs!$A$98:$A$107,0)),0)*$B$4*C24</f>
        <v/>
      </c>
      <c r="D40" s="40">
        <f>IFERROR(INDEX(Inputs!$D$98:$D$107,MATCH(D$23,Inputs!$A$98:$A$107,0)),0)*$B$4*D24</f>
        <v/>
      </c>
      <c r="E40" s="40">
        <f>IFERROR(INDEX(Inputs!$D$98:$D$107,MATCH(E$23,Inputs!$A$98:$A$107,0)),0)*$B$4*E24</f>
        <v/>
      </c>
      <c r="F40" s="40">
        <f>IFERROR(INDEX(Inputs!$D$98:$D$107,MATCH(F$23,Inputs!$A$98:$A$107,0)),0)*$B$4*F24</f>
        <v/>
      </c>
      <c r="G40" s="40">
        <f>IFERROR(INDEX(Inputs!$D$98:$D$107,MATCH(G$23,Inputs!$A$98:$A$107,0)),0)*$B$4*G24</f>
        <v/>
      </c>
      <c r="H40" s="40">
        <f>IFERROR(INDEX(Inputs!$D$98:$D$107,MATCH(H$23,Inputs!$A$98:$A$107,0)),0)*$B$4*H24</f>
        <v/>
      </c>
      <c r="I40" s="40">
        <f>IFERROR(INDEX(Inputs!$D$98:$D$107,MATCH(I$23,Inputs!$A$98:$A$107,0)),0)*$B$4*I24</f>
        <v/>
      </c>
      <c r="J40" s="40">
        <f>IFERROR(INDEX(Inputs!$D$98:$D$107,MATCH(J$23,Inputs!$A$98:$A$107,0)),0)*$B$4*J24</f>
        <v/>
      </c>
      <c r="K40" s="40">
        <f>IFERROR(INDEX(Inputs!$D$98:$D$107,MATCH(K$23,Inputs!$A$98:$A$107,0)),0)*$B$4*K24</f>
        <v/>
      </c>
      <c r="L40" s="40">
        <f>IFERROR(INDEX(Inputs!$D$98:$D$107,MATCH(L$23,Inputs!$A$98:$A$107,0)),0)*$B$4*L24</f>
        <v/>
      </c>
      <c r="M40" s="40">
        <f>IFERROR(INDEX(Inputs!$D$98:$D$107,MATCH(M$23,Inputs!$A$98:$A$107,0)),0)*$B$4*M24</f>
        <v/>
      </c>
      <c r="N40" s="40">
        <f>IFERROR(INDEX(Inputs!$D$98:$D$107,MATCH(N$23,Inputs!$A$98:$A$107,0)),0)*$B$4*N24</f>
        <v/>
      </c>
      <c r="O40" s="40">
        <f>IFERROR(INDEX(Inputs!$D$98:$D$107,MATCH(O$23,Inputs!$A$98:$A$107,0)),0)*$B$4*O24</f>
        <v/>
      </c>
      <c r="P40" s="40">
        <f>IFERROR(INDEX(Inputs!$D$98:$D$107,MATCH(P$23,Inputs!$A$98:$A$107,0)),0)*$B$4*P24</f>
        <v/>
      </c>
      <c r="Q40" s="40">
        <f>IFERROR(INDEX(Inputs!$D$98:$D$107,MATCH(Q$23,Inputs!$A$98:$A$107,0)),0)*$B$4*Q24</f>
        <v/>
      </c>
      <c r="R40" s="41">
        <f>SUM(C40:Q40)</f>
        <v/>
      </c>
    </row>
    <row r="41">
      <c r="A41" s="10" t="inlineStr">
        <is>
          <t>Active store accounts, end of month</t>
        </is>
      </c>
      <c r="C41" s="40">
        <f>C40</f>
        <v/>
      </c>
      <c r="D41" s="40">
        <f>C41*(1-in_StoreChurn)+D40</f>
        <v/>
      </c>
      <c r="E41" s="40">
        <f>D41*(1-in_StoreChurn)+E40</f>
        <v/>
      </c>
      <c r="F41" s="40">
        <f>E41*(1-in_StoreChurn)+F40</f>
        <v/>
      </c>
      <c r="G41" s="40">
        <f>F41*(1-in_StoreChurn)+G40</f>
        <v/>
      </c>
      <c r="H41" s="40">
        <f>G41*(1-in_StoreChurn)+H40</f>
        <v/>
      </c>
      <c r="I41" s="40">
        <f>H41*(1-in_StoreChurn)+I40</f>
        <v/>
      </c>
      <c r="J41" s="40">
        <f>I41*(1-in_StoreChurn)+J40</f>
        <v/>
      </c>
      <c r="K41" s="40">
        <f>J41*(1-in_StoreChurn)+K40</f>
        <v/>
      </c>
      <c r="L41" s="40">
        <f>K41*(1-in_StoreChurn)+L40</f>
        <v/>
      </c>
      <c r="M41" s="40">
        <f>L41*(1-in_StoreChurn)+M40</f>
        <v/>
      </c>
      <c r="N41" s="40">
        <f>M41*(1-in_StoreChurn)+N40</f>
        <v/>
      </c>
      <c r="O41" s="40">
        <f>N41*(1-in_StoreChurn)+O40</f>
        <v/>
      </c>
      <c r="P41" s="40">
        <f>O41*(1-in_StoreChurn)+P40</f>
        <v/>
      </c>
      <c r="Q41" s="40">
        <f>P41*(1-in_StoreChurn)+Q40</f>
        <v/>
      </c>
    </row>
    <row r="42">
      <c r="A42" s="10" t="inlineStr">
        <is>
          <t>Wholesale pouches shipped</t>
        </is>
      </c>
      <c r="C42" s="40">
        <f>C41*in_PouchPerStore</f>
        <v/>
      </c>
      <c r="D42" s="40">
        <f>D41*in_PouchPerStore</f>
        <v/>
      </c>
      <c r="E42" s="40">
        <f>E41*in_PouchPerStore</f>
        <v/>
      </c>
      <c r="F42" s="40">
        <f>F41*in_PouchPerStore</f>
        <v/>
      </c>
      <c r="G42" s="40">
        <f>G41*in_PouchPerStore</f>
        <v/>
      </c>
      <c r="H42" s="40">
        <f>H41*in_PouchPerStore</f>
        <v/>
      </c>
      <c r="I42" s="40">
        <f>I41*in_PouchPerStore</f>
        <v/>
      </c>
      <c r="J42" s="40">
        <f>J41*in_PouchPerStore</f>
        <v/>
      </c>
      <c r="K42" s="40">
        <f>K41*in_PouchPerStore</f>
        <v/>
      </c>
      <c r="L42" s="40">
        <f>L41*in_PouchPerStore</f>
        <v/>
      </c>
      <c r="M42" s="40">
        <f>M41*in_PouchPerStore</f>
        <v/>
      </c>
      <c r="N42" s="40">
        <f>N41*in_PouchPerStore</f>
        <v/>
      </c>
      <c r="O42" s="40">
        <f>O41*in_PouchPerStore</f>
        <v/>
      </c>
      <c r="P42" s="40">
        <f>P41*in_PouchPerStore</f>
        <v/>
      </c>
      <c r="Q42" s="40">
        <f>Q41*in_PouchPerStore</f>
        <v/>
      </c>
      <c r="R42" s="41">
        <f>SUM(C42:Q42)</f>
        <v/>
      </c>
    </row>
    <row r="43">
      <c r="A43" s="10" t="inlineStr">
        <is>
          <t>Wholesale sticks shipped</t>
        </is>
      </c>
      <c r="C43" s="40">
        <f>C41*in_StickPerStore</f>
        <v/>
      </c>
      <c r="D43" s="40">
        <f>D41*in_StickPerStore</f>
        <v/>
      </c>
      <c r="E43" s="40">
        <f>E41*in_StickPerStore</f>
        <v/>
      </c>
      <c r="F43" s="40">
        <f>F41*in_StickPerStore</f>
        <v/>
      </c>
      <c r="G43" s="40">
        <f>G41*in_StickPerStore</f>
        <v/>
      </c>
      <c r="H43" s="40">
        <f>H41*in_StickPerStore</f>
        <v/>
      </c>
      <c r="I43" s="40">
        <f>I41*in_StickPerStore</f>
        <v/>
      </c>
      <c r="J43" s="40">
        <f>J41*in_StickPerStore</f>
        <v/>
      </c>
      <c r="K43" s="40">
        <f>K41*in_StickPerStore</f>
        <v/>
      </c>
      <c r="L43" s="40">
        <f>L41*in_StickPerStore</f>
        <v/>
      </c>
      <c r="M43" s="40">
        <f>M41*in_StickPerStore</f>
        <v/>
      </c>
      <c r="N43" s="40">
        <f>N41*in_StickPerStore</f>
        <v/>
      </c>
      <c r="O43" s="40">
        <f>O41*in_StickPerStore</f>
        <v/>
      </c>
      <c r="P43" s="40">
        <f>P41*in_StickPerStore</f>
        <v/>
      </c>
      <c r="Q43" s="40">
        <f>Q41*in_StickPerStore</f>
        <v/>
      </c>
      <c r="R43" s="41">
        <f>SUM(C43:Q43)</f>
        <v/>
      </c>
    </row>
    <row r="45">
      <c r="A45" s="7" t="inlineStr">
        <is>
          <t>Pouch inventory (units)</t>
        </is>
      </c>
      <c r="B45" s="8" t="n"/>
      <c r="C45" s="8" t="n"/>
      <c r="D45" s="8" t="n"/>
      <c r="E45" s="8" t="n"/>
      <c r="F45" s="8" t="n"/>
      <c r="G45" s="8" t="n"/>
      <c r="H45" s="8" t="n"/>
      <c r="I45" s="8" t="n"/>
      <c r="J45" s="8" t="n"/>
      <c r="K45" s="8" t="n"/>
      <c r="L45" s="8" t="n"/>
      <c r="M45" s="8" t="n"/>
      <c r="N45" s="8" t="n"/>
      <c r="O45" s="8" t="n"/>
      <c r="P45" s="8" t="n"/>
      <c r="Q45" s="8" t="n"/>
      <c r="R45" s="8" t="n"/>
    </row>
    <row r="46">
      <c r="A46" s="10" t="inlineStr">
        <is>
          <t>Pouch demand</t>
        </is>
      </c>
      <c r="C46" s="43">
        <f>C36*in_PouchPerOrder+C42</f>
        <v/>
      </c>
      <c r="D46" s="43">
        <f>D36*in_PouchPerOrder+D42</f>
        <v/>
      </c>
      <c r="E46" s="43">
        <f>E36*in_PouchPerOrder+E42</f>
        <v/>
      </c>
      <c r="F46" s="43">
        <f>F36*in_PouchPerOrder+F42</f>
        <v/>
      </c>
      <c r="G46" s="43">
        <f>G36*in_PouchPerOrder+G42</f>
        <v/>
      </c>
      <c r="H46" s="43">
        <f>H36*in_PouchPerOrder+H42</f>
        <v/>
      </c>
      <c r="I46" s="43">
        <f>I36*in_PouchPerOrder+I42</f>
        <v/>
      </c>
      <c r="J46" s="43">
        <f>J36*in_PouchPerOrder+J42</f>
        <v/>
      </c>
      <c r="K46" s="43">
        <f>K36*in_PouchPerOrder+K42</f>
        <v/>
      </c>
      <c r="L46" s="43">
        <f>L36*in_PouchPerOrder+L42</f>
        <v/>
      </c>
      <c r="M46" s="43">
        <f>M36*in_PouchPerOrder+M42</f>
        <v/>
      </c>
      <c r="N46" s="43">
        <f>N36*in_PouchPerOrder+N42</f>
        <v/>
      </c>
      <c r="O46" s="43">
        <f>O36*in_PouchPerOrder+O42</f>
        <v/>
      </c>
      <c r="P46" s="43">
        <f>P36*in_PouchPerOrder+P42</f>
        <v/>
      </c>
      <c r="Q46" s="43">
        <f>Q36*in_PouchPerOrder+Q42</f>
        <v/>
      </c>
      <c r="R46" s="44">
        <f>SUM(C46:Q46)</f>
        <v/>
      </c>
    </row>
    <row r="47">
      <c r="A47" s="10" t="inlineStr">
        <is>
          <t>Opening stock</t>
        </is>
      </c>
      <c r="C47" s="43">
        <f>0</f>
        <v/>
      </c>
      <c r="D47" s="43">
        <f>C55</f>
        <v/>
      </c>
      <c r="E47" s="43">
        <f>D55</f>
        <v/>
      </c>
      <c r="F47" s="43">
        <f>E55</f>
        <v/>
      </c>
      <c r="G47" s="43">
        <f>F55</f>
        <v/>
      </c>
      <c r="H47" s="43">
        <f>G55</f>
        <v/>
      </c>
      <c r="I47" s="43">
        <f>H55</f>
        <v/>
      </c>
      <c r="J47" s="43">
        <f>I55</f>
        <v/>
      </c>
      <c r="K47" s="43">
        <f>J55</f>
        <v/>
      </c>
      <c r="L47" s="43">
        <f>K55</f>
        <v/>
      </c>
      <c r="M47" s="43">
        <f>L55</f>
        <v/>
      </c>
      <c r="N47" s="43">
        <f>M55</f>
        <v/>
      </c>
      <c r="O47" s="43">
        <f>N55</f>
        <v/>
      </c>
      <c r="P47" s="43">
        <f>O55</f>
        <v/>
      </c>
      <c r="Q47" s="43">
        <f>P55</f>
        <v/>
      </c>
    </row>
    <row r="48">
      <c r="A48" s="10" t="inlineStr">
        <is>
          <t>First run received</t>
        </is>
      </c>
      <c r="C48" s="43">
        <f>IF(EOMONTH(in_FirstShip,0)=EOMONTH(C$23,0),$B$8,0)</f>
        <v/>
      </c>
      <c r="D48" s="43">
        <f>IF(EOMONTH(in_FirstShip,0)=EOMONTH(D$23,0),$B$8,0)</f>
        <v/>
      </c>
      <c r="E48" s="43">
        <f>IF(EOMONTH(in_FirstShip,0)=EOMONTH(E$23,0),$B$8,0)</f>
        <v/>
      </c>
      <c r="F48" s="43">
        <f>IF(EOMONTH(in_FirstShip,0)=EOMONTH(F$23,0),$B$8,0)</f>
        <v/>
      </c>
      <c r="G48" s="43">
        <f>IF(EOMONTH(in_FirstShip,0)=EOMONTH(G$23,0),$B$8,0)</f>
        <v/>
      </c>
      <c r="H48" s="43">
        <f>IF(EOMONTH(in_FirstShip,0)=EOMONTH(H$23,0),$B$8,0)</f>
        <v/>
      </c>
      <c r="I48" s="43">
        <f>IF(EOMONTH(in_FirstShip,0)=EOMONTH(I$23,0),$B$8,0)</f>
        <v/>
      </c>
      <c r="J48" s="43">
        <f>IF(EOMONTH(in_FirstShip,0)=EOMONTH(J$23,0),$B$8,0)</f>
        <v/>
      </c>
      <c r="K48" s="43">
        <f>IF(EOMONTH(in_FirstShip,0)=EOMONTH(K$23,0),$B$8,0)</f>
        <v/>
      </c>
      <c r="L48" s="43">
        <f>IF(EOMONTH(in_FirstShip,0)=EOMONTH(L$23,0),$B$8,0)</f>
        <v/>
      </c>
      <c r="M48" s="43">
        <f>IF(EOMONTH(in_FirstShip,0)=EOMONTH(M$23,0),$B$8,0)</f>
        <v/>
      </c>
      <c r="N48" s="43">
        <f>IF(EOMONTH(in_FirstShip,0)=EOMONTH(N$23,0),$B$8,0)</f>
        <v/>
      </c>
      <c r="O48" s="43">
        <f>IF(EOMONTH(in_FirstShip,0)=EOMONTH(O$23,0),$B$8,0)</f>
        <v/>
      </c>
      <c r="P48" s="43">
        <f>IF(EOMONTH(in_FirstShip,0)=EOMONTH(P$23,0),$B$8,0)</f>
        <v/>
      </c>
      <c r="Q48" s="43">
        <f>IF(EOMONTH(in_FirstShip,0)=EOMONTH(Q$23,0),$B$8,0)</f>
        <v/>
      </c>
      <c r="R48" s="44">
        <f>SUM(C48:Q48)</f>
        <v/>
      </c>
    </row>
    <row r="49">
      <c r="A49" s="10" t="inlineStr">
        <is>
          <t>Second flavour first run received</t>
        </is>
      </c>
      <c r="C49" s="43">
        <f>IF(AND(in_Flavor2On=1,EOMONTH(in_Flavor2Run,0)=EOMONTH(C$23,0)),$B$8,0)</f>
        <v/>
      </c>
      <c r="D49" s="43">
        <f>IF(AND(in_Flavor2On=1,EOMONTH(in_Flavor2Run,0)=EOMONTH(D$23,0)),$B$8,0)</f>
        <v/>
      </c>
      <c r="E49" s="43">
        <f>IF(AND(in_Flavor2On=1,EOMONTH(in_Flavor2Run,0)=EOMONTH(E$23,0)),$B$8,0)</f>
        <v/>
      </c>
      <c r="F49" s="43">
        <f>IF(AND(in_Flavor2On=1,EOMONTH(in_Flavor2Run,0)=EOMONTH(F$23,0)),$B$8,0)</f>
        <v/>
      </c>
      <c r="G49" s="43">
        <f>IF(AND(in_Flavor2On=1,EOMONTH(in_Flavor2Run,0)=EOMONTH(G$23,0)),$B$8,0)</f>
        <v/>
      </c>
      <c r="H49" s="43">
        <f>IF(AND(in_Flavor2On=1,EOMONTH(in_Flavor2Run,0)=EOMONTH(H$23,0)),$B$8,0)</f>
        <v/>
      </c>
      <c r="I49" s="43">
        <f>IF(AND(in_Flavor2On=1,EOMONTH(in_Flavor2Run,0)=EOMONTH(I$23,0)),$B$8,0)</f>
        <v/>
      </c>
      <c r="J49" s="43">
        <f>IF(AND(in_Flavor2On=1,EOMONTH(in_Flavor2Run,0)=EOMONTH(J$23,0)),$B$8,0)</f>
        <v/>
      </c>
      <c r="K49" s="43">
        <f>IF(AND(in_Flavor2On=1,EOMONTH(in_Flavor2Run,0)=EOMONTH(K$23,0)),$B$8,0)</f>
        <v/>
      </c>
      <c r="L49" s="43">
        <f>IF(AND(in_Flavor2On=1,EOMONTH(in_Flavor2Run,0)=EOMONTH(L$23,0)),$B$8,0)</f>
        <v/>
      </c>
      <c r="M49" s="43">
        <f>IF(AND(in_Flavor2On=1,EOMONTH(in_Flavor2Run,0)=EOMONTH(M$23,0)),$B$8,0)</f>
        <v/>
      </c>
      <c r="N49" s="43">
        <f>IF(AND(in_Flavor2On=1,EOMONTH(in_Flavor2Run,0)=EOMONTH(N$23,0)),$B$8,0)</f>
        <v/>
      </c>
      <c r="O49" s="43">
        <f>IF(AND(in_Flavor2On=1,EOMONTH(in_Flavor2Run,0)=EOMONTH(O$23,0)),$B$8,0)</f>
        <v/>
      </c>
      <c r="P49" s="43">
        <f>IF(AND(in_Flavor2On=1,EOMONTH(in_Flavor2Run,0)=EOMONTH(P$23,0)),$B$8,0)</f>
        <v/>
      </c>
      <c r="Q49" s="43">
        <f>IF(AND(in_Flavor2On=1,EOMONTH(in_Flavor2Run,0)=EOMONTH(Q$23,0)),$B$8,0)</f>
        <v/>
      </c>
      <c r="R49" s="44">
        <f>SUM(C49:Q49)</f>
        <v/>
      </c>
    </row>
    <row r="50">
      <c r="A50" s="10" t="inlineStr">
        <is>
          <t>Reorders received (placed lead-time months earlier)</t>
        </is>
      </c>
      <c r="B50" s="6" t="inlineStr">
        <is>
          <t>Lead-time input</t>
        </is>
      </c>
      <c r="C50" s="43">
        <f>IF(in_Lead=1,0,IF(in_Lead=2,0,IF(in_Lead=3,0,0)))</f>
        <v/>
      </c>
      <c r="D50" s="43">
        <f>IF(in_Lead=1,C52,IF(in_Lead=2,0,IF(in_Lead=3,0,0)))</f>
        <v/>
      </c>
      <c r="E50" s="43">
        <f>IF(in_Lead=1,D52,IF(in_Lead=2,C52,IF(in_Lead=3,0,0)))</f>
        <v/>
      </c>
      <c r="F50" s="43">
        <f>IF(in_Lead=1,E52,IF(in_Lead=2,D52,IF(in_Lead=3,C52,0)))</f>
        <v/>
      </c>
      <c r="G50" s="43">
        <f>IF(in_Lead=1,F52,IF(in_Lead=2,E52,IF(in_Lead=3,D52,0)))</f>
        <v/>
      </c>
      <c r="H50" s="43">
        <f>IF(in_Lead=1,G52,IF(in_Lead=2,F52,IF(in_Lead=3,E52,0)))</f>
        <v/>
      </c>
      <c r="I50" s="43">
        <f>IF(in_Lead=1,H52,IF(in_Lead=2,G52,IF(in_Lead=3,F52,0)))</f>
        <v/>
      </c>
      <c r="J50" s="43">
        <f>IF(in_Lead=1,I52,IF(in_Lead=2,H52,IF(in_Lead=3,G52,0)))</f>
        <v/>
      </c>
      <c r="K50" s="43">
        <f>IF(in_Lead=1,J52,IF(in_Lead=2,I52,IF(in_Lead=3,H52,0)))</f>
        <v/>
      </c>
      <c r="L50" s="43">
        <f>IF(in_Lead=1,K52,IF(in_Lead=2,J52,IF(in_Lead=3,I52,0)))</f>
        <v/>
      </c>
      <c r="M50" s="43">
        <f>IF(in_Lead=1,L52,IF(in_Lead=2,K52,IF(in_Lead=3,J52,0)))</f>
        <v/>
      </c>
      <c r="N50" s="43">
        <f>IF(in_Lead=1,M52,IF(in_Lead=2,L52,IF(in_Lead=3,K52,0)))</f>
        <v/>
      </c>
      <c r="O50" s="43">
        <f>IF(in_Lead=1,N52,IF(in_Lead=2,M52,IF(in_Lead=3,L52,0)))</f>
        <v/>
      </c>
      <c r="P50" s="43">
        <f>IF(in_Lead=1,O52,IF(in_Lead=2,N52,IF(in_Lead=3,M52,0)))</f>
        <v/>
      </c>
      <c r="Q50" s="43">
        <f>IF(in_Lead=1,P52,IF(in_Lead=2,O52,IF(in_Lead=3,N52,0)))</f>
        <v/>
      </c>
      <c r="R50" s="44">
        <f>SUM(C50:Q50)</f>
        <v/>
      </c>
    </row>
    <row r="51">
      <c r="A51" s="10" t="inlineStr">
        <is>
          <t>On order, still in transit after this month</t>
        </is>
      </c>
      <c r="C51" s="43">
        <f>IF(in_Lead&gt;=2,0,0)+IF(in_Lead&gt;=3,0,0)</f>
        <v/>
      </c>
      <c r="D51" s="43">
        <f>IF(in_Lead&gt;=2,C52,0)+IF(in_Lead&gt;=3,0,0)</f>
        <v/>
      </c>
      <c r="E51" s="43">
        <f>IF(in_Lead&gt;=2,D52,0)+IF(in_Lead&gt;=3,C52,0)</f>
        <v/>
      </c>
      <c r="F51" s="43">
        <f>IF(in_Lead&gt;=2,E52,0)+IF(in_Lead&gt;=3,D52,0)</f>
        <v/>
      </c>
      <c r="G51" s="43">
        <f>IF(in_Lead&gt;=2,F52,0)+IF(in_Lead&gt;=3,E52,0)</f>
        <v/>
      </c>
      <c r="H51" s="43">
        <f>IF(in_Lead&gt;=2,G52,0)+IF(in_Lead&gt;=3,F52,0)</f>
        <v/>
      </c>
      <c r="I51" s="43">
        <f>IF(in_Lead&gt;=2,H52,0)+IF(in_Lead&gt;=3,G52,0)</f>
        <v/>
      </c>
      <c r="J51" s="43">
        <f>IF(in_Lead&gt;=2,I52,0)+IF(in_Lead&gt;=3,H52,0)</f>
        <v/>
      </c>
      <c r="K51" s="43">
        <f>IF(in_Lead&gt;=2,J52,0)+IF(in_Lead&gt;=3,I52,0)</f>
        <v/>
      </c>
      <c r="L51" s="43">
        <f>IF(in_Lead&gt;=2,K52,0)+IF(in_Lead&gt;=3,J52,0)</f>
        <v/>
      </c>
      <c r="M51" s="43">
        <f>IF(in_Lead&gt;=2,L52,0)+IF(in_Lead&gt;=3,K52,0)</f>
        <v/>
      </c>
      <c r="N51" s="43">
        <f>IF(in_Lead&gt;=2,M52,0)+IF(in_Lead&gt;=3,L52,0)</f>
        <v/>
      </c>
      <c r="O51" s="43">
        <f>IF(in_Lead&gt;=2,N52,0)+IF(in_Lead&gt;=3,M52,0)</f>
        <v/>
      </c>
      <c r="P51" s="43">
        <f>IF(in_Lead&gt;=2,O52,0)+IF(in_Lead&gt;=3,N52,0)</f>
        <v/>
      </c>
      <c r="Q51" s="43">
        <f>IF(in_Lead&gt;=2,P52,0)+IF(in_Lead&gt;=3,O52,0)</f>
        <v/>
      </c>
    </row>
    <row r="52">
      <c r="A52" s="10" t="inlineStr">
        <is>
          <t>Reorder placed and paid (stock + on order below reorder point)</t>
        </is>
      </c>
      <c r="B52" s="6" t="inlineStr">
        <is>
          <t>Paid when placed</t>
        </is>
      </c>
      <c r="C52" s="43">
        <f>IF(C24=1,IF(C47+C48+C49+C50+C51&lt;C46*in_Cover,ROUNDUP((C46*in_Cover-(C47+C48+C49+C50+C51))/$B$8,0)*$B$8,0),0)</f>
        <v/>
      </c>
      <c r="D52" s="43">
        <f>IF(D24=1,IF(D47+D48+D49+D50+D51&lt;D46*in_Cover,ROUNDUP((D46*in_Cover-(D47+D48+D49+D50+D51))/$B$8,0)*$B$8,0),0)</f>
        <v/>
      </c>
      <c r="E52" s="43">
        <f>IF(E24=1,IF(E47+E48+E49+E50+E51&lt;E46*in_Cover,ROUNDUP((E46*in_Cover-(E47+E48+E49+E50+E51))/$B$8,0)*$B$8,0),0)</f>
        <v/>
      </c>
      <c r="F52" s="43">
        <f>IF(F24=1,IF(F47+F48+F49+F50+F51&lt;F46*in_Cover,ROUNDUP((F46*in_Cover-(F47+F48+F49+F50+F51))/$B$8,0)*$B$8,0),0)</f>
        <v/>
      </c>
      <c r="G52" s="43">
        <f>IF(G24=1,IF(G47+G48+G49+G50+G51&lt;G46*in_Cover,ROUNDUP((G46*in_Cover-(G47+G48+G49+G50+G51))/$B$8,0)*$B$8,0),0)</f>
        <v/>
      </c>
      <c r="H52" s="43">
        <f>IF(H24=1,IF(H47+H48+H49+H50+H51&lt;H46*in_Cover,ROUNDUP((H46*in_Cover-(H47+H48+H49+H50+H51))/$B$8,0)*$B$8,0),0)</f>
        <v/>
      </c>
      <c r="I52" s="43">
        <f>IF(I24=1,IF(I47+I48+I49+I50+I51&lt;I46*in_Cover,ROUNDUP((I46*in_Cover-(I47+I48+I49+I50+I51))/$B$8,0)*$B$8,0),0)</f>
        <v/>
      </c>
      <c r="J52" s="43">
        <f>IF(J24=1,IF(J47+J48+J49+J50+J51&lt;J46*in_Cover,ROUNDUP((J46*in_Cover-(J47+J48+J49+J50+J51))/$B$8,0)*$B$8,0),0)</f>
        <v/>
      </c>
      <c r="K52" s="43">
        <f>IF(K24=1,IF(K47+K48+K49+K50+K51&lt;K46*in_Cover,ROUNDUP((K46*in_Cover-(K47+K48+K49+K50+K51))/$B$8,0)*$B$8,0),0)</f>
        <v/>
      </c>
      <c r="L52" s="43">
        <f>IF(L24=1,IF(L47+L48+L49+L50+L51&lt;L46*in_Cover,ROUNDUP((L46*in_Cover-(L47+L48+L49+L50+L51))/$B$8,0)*$B$8,0),0)</f>
        <v/>
      </c>
      <c r="M52" s="43">
        <f>IF(M24=1,IF(M47+M48+M49+M50+M51&lt;M46*in_Cover,ROUNDUP((M46*in_Cover-(M47+M48+M49+M50+M51))/$B$8,0)*$B$8,0),0)</f>
        <v/>
      </c>
      <c r="N52" s="43">
        <f>IF(N24=1,IF(N47+N48+N49+N50+N51&lt;N46*in_Cover,ROUNDUP((N46*in_Cover-(N47+N48+N49+N50+N51))/$B$8,0)*$B$8,0),0)</f>
        <v/>
      </c>
      <c r="O52" s="43">
        <f>IF(O24=1,IF(O47+O48+O49+O50+O51&lt;O46*in_Cover,ROUNDUP((O46*in_Cover-(O47+O48+O49+O50+O51))/$B$8,0)*$B$8,0),0)</f>
        <v/>
      </c>
      <c r="P52" s="43">
        <f>IF(P24=1,IF(P47+P48+P49+P50+P51&lt;P46*in_Cover,ROUNDUP((P46*in_Cover-(P47+P48+P49+P50+P51))/$B$8,0)*$B$8,0),0)</f>
        <v/>
      </c>
      <c r="Q52" s="43">
        <f>IF(Q24=1,IF(Q47+Q48+Q49+Q50+Q51&lt;Q46*in_Cover,ROUNDUP((Q46*in_Cover-(Q47+Q48+Q49+Q50+Q51))/$B$8,0)*$B$8,0),0)</f>
        <v/>
      </c>
      <c r="R52" s="44">
        <f>SUM(C52:Q52)</f>
        <v/>
      </c>
    </row>
    <row r="53">
      <c r="A53" s="10" t="inlineStr">
        <is>
          <t>Pouches sold</t>
        </is>
      </c>
      <c r="C53" s="43">
        <f>MIN(C46,C47+C48+C49+C50)</f>
        <v/>
      </c>
      <c r="D53" s="43">
        <f>MIN(D46,D47+D48+D49+D50)</f>
        <v/>
      </c>
      <c r="E53" s="43">
        <f>MIN(E46,E47+E48+E49+E50)</f>
        <v/>
      </c>
      <c r="F53" s="43">
        <f>MIN(F46,F47+F48+F49+F50)</f>
        <v/>
      </c>
      <c r="G53" s="43">
        <f>MIN(G46,G47+G48+G49+G50)</f>
        <v/>
      </c>
      <c r="H53" s="43">
        <f>MIN(H46,H47+H48+H49+H50)</f>
        <v/>
      </c>
      <c r="I53" s="43">
        <f>MIN(I46,I47+I48+I49+I50)</f>
        <v/>
      </c>
      <c r="J53" s="43">
        <f>MIN(J46,J47+J48+J49+J50)</f>
        <v/>
      </c>
      <c r="K53" s="43">
        <f>MIN(K46,K47+K48+K49+K50)</f>
        <v/>
      </c>
      <c r="L53" s="43">
        <f>MIN(L46,L47+L48+L49+L50)</f>
        <v/>
      </c>
      <c r="M53" s="43">
        <f>MIN(M46,M47+M48+M49+M50)</f>
        <v/>
      </c>
      <c r="N53" s="43">
        <f>MIN(N46,N47+N48+N49+N50)</f>
        <v/>
      </c>
      <c r="O53" s="43">
        <f>MIN(O46,O47+O48+O49+O50)</f>
        <v/>
      </c>
      <c r="P53" s="43">
        <f>MIN(P46,P47+P48+P49+P50)</f>
        <v/>
      </c>
      <c r="Q53" s="43">
        <f>MIN(Q46,Q47+Q48+Q49+Q50)</f>
        <v/>
      </c>
      <c r="R53" s="44">
        <f>SUM(C53:Q53)</f>
        <v/>
      </c>
    </row>
    <row r="54">
      <c r="A54" s="10" t="inlineStr">
        <is>
          <t>Pouch shortfall (check: should be 0)</t>
        </is>
      </c>
      <c r="B54" s="6" t="inlineStr">
        <is>
          <t>Must stay 0</t>
        </is>
      </c>
      <c r="C54" s="43">
        <f>C46-C53</f>
        <v/>
      </c>
      <c r="D54" s="43">
        <f>D46-D53</f>
        <v/>
      </c>
      <c r="E54" s="43">
        <f>E46-E53</f>
        <v/>
      </c>
      <c r="F54" s="43">
        <f>F46-F53</f>
        <v/>
      </c>
      <c r="G54" s="43">
        <f>G46-G53</f>
        <v/>
      </c>
      <c r="H54" s="43">
        <f>H46-H53</f>
        <v/>
      </c>
      <c r="I54" s="43">
        <f>I46-I53</f>
        <v/>
      </c>
      <c r="J54" s="43">
        <f>J46-J53</f>
        <v/>
      </c>
      <c r="K54" s="43">
        <f>K46-K53</f>
        <v/>
      </c>
      <c r="L54" s="43">
        <f>L46-L53</f>
        <v/>
      </c>
      <c r="M54" s="43">
        <f>M46-M53</f>
        <v/>
      </c>
      <c r="N54" s="43">
        <f>N46-N53</f>
        <v/>
      </c>
      <c r="O54" s="43">
        <f>O46-O53</f>
        <v/>
      </c>
      <c r="P54" s="43">
        <f>P46-P53</f>
        <v/>
      </c>
      <c r="Q54" s="43">
        <f>Q46-Q53</f>
        <v/>
      </c>
      <c r="R54" s="44">
        <f>SUM(C54:Q54)</f>
        <v/>
      </c>
    </row>
    <row r="55">
      <c r="A55" s="10" t="inlineStr">
        <is>
          <t>Closing stock</t>
        </is>
      </c>
      <c r="C55" s="43">
        <f>C47+C48+C49+C50-C53</f>
        <v/>
      </c>
      <c r="D55" s="43">
        <f>D47+D48+D49+D50-D53</f>
        <v/>
      </c>
      <c r="E55" s="43">
        <f>E47+E48+E49+E50-E53</f>
        <v/>
      </c>
      <c r="F55" s="43">
        <f>F47+F48+F49+F50-F53</f>
        <v/>
      </c>
      <c r="G55" s="43">
        <f>G47+G48+G49+G50-G53</f>
        <v/>
      </c>
      <c r="H55" s="43">
        <f>H47+H48+H49+H50-H53</f>
        <v/>
      </c>
      <c r="I55" s="43">
        <f>I47+I48+I49+I50-I53</f>
        <v/>
      </c>
      <c r="J55" s="43">
        <f>J47+J48+J49+J50-J53</f>
        <v/>
      </c>
      <c r="K55" s="43">
        <f>K47+K48+K49+K50-K53</f>
        <v/>
      </c>
      <c r="L55" s="43">
        <f>L47+L48+L49+L50-L53</f>
        <v/>
      </c>
      <c r="M55" s="43">
        <f>M47+M48+M49+M50-M53</f>
        <v/>
      </c>
      <c r="N55" s="43">
        <f>N47+N48+N49+N50-N53</f>
        <v/>
      </c>
      <c r="O55" s="43">
        <f>O47+O48+O49+O50-O53</f>
        <v/>
      </c>
      <c r="P55" s="43">
        <f>P47+P48+P49+P50-P53</f>
        <v/>
      </c>
      <c r="Q55" s="43">
        <f>Q47+Q48+Q49+Q50-Q53</f>
        <v/>
      </c>
    </row>
    <row r="57">
      <c r="A57" s="7" t="inlineStr">
        <is>
          <t>Protein stick inventory (units)</t>
        </is>
      </c>
      <c r="B57" s="8" t="n"/>
      <c r="C57" s="8" t="n"/>
      <c r="D57" s="8" t="n"/>
      <c r="E57" s="8" t="n"/>
      <c r="F57" s="8" t="n"/>
      <c r="G57" s="8" t="n"/>
      <c r="H57" s="8" t="n"/>
      <c r="I57" s="8" t="n"/>
      <c r="J57" s="8" t="n"/>
      <c r="K57" s="8" t="n"/>
      <c r="L57" s="8" t="n"/>
      <c r="M57" s="8" t="n"/>
      <c r="N57" s="8" t="n"/>
      <c r="O57" s="8" t="n"/>
      <c r="P57" s="8" t="n"/>
      <c r="Q57" s="8" t="n"/>
      <c r="R57" s="8" t="n"/>
    </row>
    <row r="58">
      <c r="A58" s="10" t="inlineStr">
        <is>
          <t>Stick demand</t>
        </is>
      </c>
      <c r="C58" s="43">
        <f>C37*in_SticksPerBox+C43</f>
        <v/>
      </c>
      <c r="D58" s="43">
        <f>D37*in_SticksPerBox+D43</f>
        <v/>
      </c>
      <c r="E58" s="43">
        <f>E37*in_SticksPerBox+E43</f>
        <v/>
      </c>
      <c r="F58" s="43">
        <f>F37*in_SticksPerBox+F43</f>
        <v/>
      </c>
      <c r="G58" s="43">
        <f>G37*in_SticksPerBox+G43</f>
        <v/>
      </c>
      <c r="H58" s="43">
        <f>H37*in_SticksPerBox+H43</f>
        <v/>
      </c>
      <c r="I58" s="43">
        <f>I37*in_SticksPerBox+I43</f>
        <v/>
      </c>
      <c r="J58" s="43">
        <f>J37*in_SticksPerBox+J43</f>
        <v/>
      </c>
      <c r="K58" s="43">
        <f>K37*in_SticksPerBox+K43</f>
        <v/>
      </c>
      <c r="L58" s="43">
        <f>L37*in_SticksPerBox+L43</f>
        <v/>
      </c>
      <c r="M58" s="43">
        <f>M37*in_SticksPerBox+M43</f>
        <v/>
      </c>
      <c r="N58" s="43">
        <f>N37*in_SticksPerBox+N43</f>
        <v/>
      </c>
      <c r="O58" s="43">
        <f>O37*in_SticksPerBox+O43</f>
        <v/>
      </c>
      <c r="P58" s="43">
        <f>P37*in_SticksPerBox+P43</f>
        <v/>
      </c>
      <c r="Q58" s="43">
        <f>Q37*in_SticksPerBox+Q43</f>
        <v/>
      </c>
      <c r="R58" s="44">
        <f>SUM(C58:Q58)</f>
        <v/>
      </c>
    </row>
    <row r="59">
      <c r="A59" s="10" t="inlineStr">
        <is>
          <t>Opening stock</t>
        </is>
      </c>
      <c r="C59" s="43">
        <f>0</f>
        <v/>
      </c>
      <c r="D59" s="43">
        <f>C66</f>
        <v/>
      </c>
      <c r="E59" s="43">
        <f>D66</f>
        <v/>
      </c>
      <c r="F59" s="43">
        <f>E66</f>
        <v/>
      </c>
      <c r="G59" s="43">
        <f>F66</f>
        <v/>
      </c>
      <c r="H59" s="43">
        <f>G66</f>
        <v/>
      </c>
      <c r="I59" s="43">
        <f>H66</f>
        <v/>
      </c>
      <c r="J59" s="43">
        <f>I66</f>
        <v/>
      </c>
      <c r="K59" s="43">
        <f>J66</f>
        <v/>
      </c>
      <c r="L59" s="43">
        <f>K66</f>
        <v/>
      </c>
      <c r="M59" s="43">
        <f>L66</f>
        <v/>
      </c>
      <c r="N59" s="43">
        <f>M66</f>
        <v/>
      </c>
      <c r="O59" s="43">
        <f>N66</f>
        <v/>
      </c>
      <c r="P59" s="43">
        <f>O66</f>
        <v/>
      </c>
      <c r="Q59" s="43">
        <f>P66</f>
        <v/>
      </c>
    </row>
    <row r="60">
      <c r="A60" s="10" t="inlineStr">
        <is>
          <t>First run received</t>
        </is>
      </c>
      <c r="C60" s="43">
        <f>IF(EOMONTH(in_FirstShip,0)=EOMONTH(C$23,0),$B$9,0)</f>
        <v/>
      </c>
      <c r="D60" s="43">
        <f>IF(EOMONTH(in_FirstShip,0)=EOMONTH(D$23,0),$B$9,0)</f>
        <v/>
      </c>
      <c r="E60" s="43">
        <f>IF(EOMONTH(in_FirstShip,0)=EOMONTH(E$23,0),$B$9,0)</f>
        <v/>
      </c>
      <c r="F60" s="43">
        <f>IF(EOMONTH(in_FirstShip,0)=EOMONTH(F$23,0),$B$9,0)</f>
        <v/>
      </c>
      <c r="G60" s="43">
        <f>IF(EOMONTH(in_FirstShip,0)=EOMONTH(G$23,0),$B$9,0)</f>
        <v/>
      </c>
      <c r="H60" s="43">
        <f>IF(EOMONTH(in_FirstShip,0)=EOMONTH(H$23,0),$B$9,0)</f>
        <v/>
      </c>
      <c r="I60" s="43">
        <f>IF(EOMONTH(in_FirstShip,0)=EOMONTH(I$23,0),$B$9,0)</f>
        <v/>
      </c>
      <c r="J60" s="43">
        <f>IF(EOMONTH(in_FirstShip,0)=EOMONTH(J$23,0),$B$9,0)</f>
        <v/>
      </c>
      <c r="K60" s="43">
        <f>IF(EOMONTH(in_FirstShip,0)=EOMONTH(K$23,0),$B$9,0)</f>
        <v/>
      </c>
      <c r="L60" s="43">
        <f>IF(EOMONTH(in_FirstShip,0)=EOMONTH(L$23,0),$B$9,0)</f>
        <v/>
      </c>
      <c r="M60" s="43">
        <f>IF(EOMONTH(in_FirstShip,0)=EOMONTH(M$23,0),$B$9,0)</f>
        <v/>
      </c>
      <c r="N60" s="43">
        <f>IF(EOMONTH(in_FirstShip,0)=EOMONTH(N$23,0),$B$9,0)</f>
        <v/>
      </c>
      <c r="O60" s="43">
        <f>IF(EOMONTH(in_FirstShip,0)=EOMONTH(O$23,0),$B$9,0)</f>
        <v/>
      </c>
      <c r="P60" s="43">
        <f>IF(EOMONTH(in_FirstShip,0)=EOMONTH(P$23,0),$B$9,0)</f>
        <v/>
      </c>
      <c r="Q60" s="43">
        <f>IF(EOMONTH(in_FirstShip,0)=EOMONTH(Q$23,0),$B$9,0)</f>
        <v/>
      </c>
      <c r="R60" s="44">
        <f>SUM(C60:Q60)</f>
        <v/>
      </c>
    </row>
    <row r="61">
      <c r="A61" s="10" t="inlineStr">
        <is>
          <t>Reorders received (placed lead-time months earlier)</t>
        </is>
      </c>
      <c r="C61" s="43">
        <f>IF(in_Lead=1,0,IF(in_Lead=2,0,IF(in_Lead=3,0,0)))</f>
        <v/>
      </c>
      <c r="D61" s="43">
        <f>IF(in_Lead=1,C63,IF(in_Lead=2,0,IF(in_Lead=3,0,0)))</f>
        <v/>
      </c>
      <c r="E61" s="43">
        <f>IF(in_Lead=1,D63,IF(in_Lead=2,C63,IF(in_Lead=3,0,0)))</f>
        <v/>
      </c>
      <c r="F61" s="43">
        <f>IF(in_Lead=1,E63,IF(in_Lead=2,D63,IF(in_Lead=3,C63,0)))</f>
        <v/>
      </c>
      <c r="G61" s="43">
        <f>IF(in_Lead=1,F63,IF(in_Lead=2,E63,IF(in_Lead=3,D63,0)))</f>
        <v/>
      </c>
      <c r="H61" s="43">
        <f>IF(in_Lead=1,G63,IF(in_Lead=2,F63,IF(in_Lead=3,E63,0)))</f>
        <v/>
      </c>
      <c r="I61" s="43">
        <f>IF(in_Lead=1,H63,IF(in_Lead=2,G63,IF(in_Lead=3,F63,0)))</f>
        <v/>
      </c>
      <c r="J61" s="43">
        <f>IF(in_Lead=1,I63,IF(in_Lead=2,H63,IF(in_Lead=3,G63,0)))</f>
        <v/>
      </c>
      <c r="K61" s="43">
        <f>IF(in_Lead=1,J63,IF(in_Lead=2,I63,IF(in_Lead=3,H63,0)))</f>
        <v/>
      </c>
      <c r="L61" s="43">
        <f>IF(in_Lead=1,K63,IF(in_Lead=2,J63,IF(in_Lead=3,I63,0)))</f>
        <v/>
      </c>
      <c r="M61" s="43">
        <f>IF(in_Lead=1,L63,IF(in_Lead=2,K63,IF(in_Lead=3,J63,0)))</f>
        <v/>
      </c>
      <c r="N61" s="43">
        <f>IF(in_Lead=1,M63,IF(in_Lead=2,L63,IF(in_Lead=3,K63,0)))</f>
        <v/>
      </c>
      <c r="O61" s="43">
        <f>IF(in_Lead=1,N63,IF(in_Lead=2,M63,IF(in_Lead=3,L63,0)))</f>
        <v/>
      </c>
      <c r="P61" s="43">
        <f>IF(in_Lead=1,O63,IF(in_Lead=2,N63,IF(in_Lead=3,M63,0)))</f>
        <v/>
      </c>
      <c r="Q61" s="43">
        <f>IF(in_Lead=1,P63,IF(in_Lead=2,O63,IF(in_Lead=3,N63,0)))</f>
        <v/>
      </c>
      <c r="R61" s="44">
        <f>SUM(C61:Q61)</f>
        <v/>
      </c>
    </row>
    <row r="62">
      <c r="A62" s="10" t="inlineStr">
        <is>
          <t>On order, still in transit after this month</t>
        </is>
      </c>
      <c r="C62" s="43">
        <f>IF(in_Lead&gt;=2,0,0)+IF(in_Lead&gt;=3,0,0)</f>
        <v/>
      </c>
      <c r="D62" s="43">
        <f>IF(in_Lead&gt;=2,C63,0)+IF(in_Lead&gt;=3,0,0)</f>
        <v/>
      </c>
      <c r="E62" s="43">
        <f>IF(in_Lead&gt;=2,D63,0)+IF(in_Lead&gt;=3,C63,0)</f>
        <v/>
      </c>
      <c r="F62" s="43">
        <f>IF(in_Lead&gt;=2,E63,0)+IF(in_Lead&gt;=3,D63,0)</f>
        <v/>
      </c>
      <c r="G62" s="43">
        <f>IF(in_Lead&gt;=2,F63,0)+IF(in_Lead&gt;=3,E63,0)</f>
        <v/>
      </c>
      <c r="H62" s="43">
        <f>IF(in_Lead&gt;=2,G63,0)+IF(in_Lead&gt;=3,F63,0)</f>
        <v/>
      </c>
      <c r="I62" s="43">
        <f>IF(in_Lead&gt;=2,H63,0)+IF(in_Lead&gt;=3,G63,0)</f>
        <v/>
      </c>
      <c r="J62" s="43">
        <f>IF(in_Lead&gt;=2,I63,0)+IF(in_Lead&gt;=3,H63,0)</f>
        <v/>
      </c>
      <c r="K62" s="43">
        <f>IF(in_Lead&gt;=2,J63,0)+IF(in_Lead&gt;=3,I63,0)</f>
        <v/>
      </c>
      <c r="L62" s="43">
        <f>IF(in_Lead&gt;=2,K63,0)+IF(in_Lead&gt;=3,J63,0)</f>
        <v/>
      </c>
      <c r="M62" s="43">
        <f>IF(in_Lead&gt;=2,L63,0)+IF(in_Lead&gt;=3,K63,0)</f>
        <v/>
      </c>
      <c r="N62" s="43">
        <f>IF(in_Lead&gt;=2,M63,0)+IF(in_Lead&gt;=3,L63,0)</f>
        <v/>
      </c>
      <c r="O62" s="43">
        <f>IF(in_Lead&gt;=2,N63,0)+IF(in_Lead&gt;=3,M63,0)</f>
        <v/>
      </c>
      <c r="P62" s="43">
        <f>IF(in_Lead&gt;=2,O63,0)+IF(in_Lead&gt;=3,N63,0)</f>
        <v/>
      </c>
      <c r="Q62" s="43">
        <f>IF(in_Lead&gt;=2,P63,0)+IF(in_Lead&gt;=3,O63,0)</f>
        <v/>
      </c>
    </row>
    <row r="63">
      <c r="A63" s="10" t="inlineStr">
        <is>
          <t>Reorder placed and paid</t>
        </is>
      </c>
      <c r="C63" s="43">
        <f>IF(C24=1,IF(C59+C60+C61+C62&lt;C58*in_Cover,ROUNDUP((C58*in_Cover-(C59+C60+C61+C62))/$B$9,0)*$B$9,0),0)</f>
        <v/>
      </c>
      <c r="D63" s="43">
        <f>IF(D24=1,IF(D59+D60+D61+D62&lt;D58*in_Cover,ROUNDUP((D58*in_Cover-(D59+D60+D61+D62))/$B$9,0)*$B$9,0),0)</f>
        <v/>
      </c>
      <c r="E63" s="43">
        <f>IF(E24=1,IF(E59+E60+E61+E62&lt;E58*in_Cover,ROUNDUP((E58*in_Cover-(E59+E60+E61+E62))/$B$9,0)*$B$9,0),0)</f>
        <v/>
      </c>
      <c r="F63" s="43">
        <f>IF(F24=1,IF(F59+F60+F61+F62&lt;F58*in_Cover,ROUNDUP((F58*in_Cover-(F59+F60+F61+F62))/$B$9,0)*$B$9,0),0)</f>
        <v/>
      </c>
      <c r="G63" s="43">
        <f>IF(G24=1,IF(G59+G60+G61+G62&lt;G58*in_Cover,ROUNDUP((G58*in_Cover-(G59+G60+G61+G62))/$B$9,0)*$B$9,0),0)</f>
        <v/>
      </c>
      <c r="H63" s="43">
        <f>IF(H24=1,IF(H59+H60+H61+H62&lt;H58*in_Cover,ROUNDUP((H58*in_Cover-(H59+H60+H61+H62))/$B$9,0)*$B$9,0),0)</f>
        <v/>
      </c>
      <c r="I63" s="43">
        <f>IF(I24=1,IF(I59+I60+I61+I62&lt;I58*in_Cover,ROUNDUP((I58*in_Cover-(I59+I60+I61+I62))/$B$9,0)*$B$9,0),0)</f>
        <v/>
      </c>
      <c r="J63" s="43">
        <f>IF(J24=1,IF(J59+J60+J61+J62&lt;J58*in_Cover,ROUNDUP((J58*in_Cover-(J59+J60+J61+J62))/$B$9,0)*$B$9,0),0)</f>
        <v/>
      </c>
      <c r="K63" s="43">
        <f>IF(K24=1,IF(K59+K60+K61+K62&lt;K58*in_Cover,ROUNDUP((K58*in_Cover-(K59+K60+K61+K62))/$B$9,0)*$B$9,0),0)</f>
        <v/>
      </c>
      <c r="L63" s="43">
        <f>IF(L24=1,IF(L59+L60+L61+L62&lt;L58*in_Cover,ROUNDUP((L58*in_Cover-(L59+L60+L61+L62))/$B$9,0)*$B$9,0),0)</f>
        <v/>
      </c>
      <c r="M63" s="43">
        <f>IF(M24=1,IF(M59+M60+M61+M62&lt;M58*in_Cover,ROUNDUP((M58*in_Cover-(M59+M60+M61+M62))/$B$9,0)*$B$9,0),0)</f>
        <v/>
      </c>
      <c r="N63" s="43">
        <f>IF(N24=1,IF(N59+N60+N61+N62&lt;N58*in_Cover,ROUNDUP((N58*in_Cover-(N59+N60+N61+N62))/$B$9,0)*$B$9,0),0)</f>
        <v/>
      </c>
      <c r="O63" s="43">
        <f>IF(O24=1,IF(O59+O60+O61+O62&lt;O58*in_Cover,ROUNDUP((O58*in_Cover-(O59+O60+O61+O62))/$B$9,0)*$B$9,0),0)</f>
        <v/>
      </c>
      <c r="P63" s="43">
        <f>IF(P24=1,IF(P59+P60+P61+P62&lt;P58*in_Cover,ROUNDUP((P58*in_Cover-(P59+P60+P61+P62))/$B$9,0)*$B$9,0),0)</f>
        <v/>
      </c>
      <c r="Q63" s="43">
        <f>IF(Q24=1,IF(Q59+Q60+Q61+Q62&lt;Q58*in_Cover,ROUNDUP((Q58*in_Cover-(Q59+Q60+Q61+Q62))/$B$9,0)*$B$9,0),0)</f>
        <v/>
      </c>
      <c r="R63" s="44">
        <f>SUM(C63:Q63)</f>
        <v/>
      </c>
    </row>
    <row r="64">
      <c r="A64" s="10" t="inlineStr">
        <is>
          <t>Sticks sold</t>
        </is>
      </c>
      <c r="C64" s="43">
        <f>MIN(C58,C59+C60+C61)</f>
        <v/>
      </c>
      <c r="D64" s="43">
        <f>MIN(D58,D59+D60+D61)</f>
        <v/>
      </c>
      <c r="E64" s="43">
        <f>MIN(E58,E59+E60+E61)</f>
        <v/>
      </c>
      <c r="F64" s="43">
        <f>MIN(F58,F59+F60+F61)</f>
        <v/>
      </c>
      <c r="G64" s="43">
        <f>MIN(G58,G59+G60+G61)</f>
        <v/>
      </c>
      <c r="H64" s="43">
        <f>MIN(H58,H59+H60+H61)</f>
        <v/>
      </c>
      <c r="I64" s="43">
        <f>MIN(I58,I59+I60+I61)</f>
        <v/>
      </c>
      <c r="J64" s="43">
        <f>MIN(J58,J59+J60+J61)</f>
        <v/>
      </c>
      <c r="K64" s="43">
        <f>MIN(K58,K59+K60+K61)</f>
        <v/>
      </c>
      <c r="L64" s="43">
        <f>MIN(L58,L59+L60+L61)</f>
        <v/>
      </c>
      <c r="M64" s="43">
        <f>MIN(M58,M59+M60+M61)</f>
        <v/>
      </c>
      <c r="N64" s="43">
        <f>MIN(N58,N59+N60+N61)</f>
        <v/>
      </c>
      <c r="O64" s="43">
        <f>MIN(O58,O59+O60+O61)</f>
        <v/>
      </c>
      <c r="P64" s="43">
        <f>MIN(P58,P59+P60+P61)</f>
        <v/>
      </c>
      <c r="Q64" s="43">
        <f>MIN(Q58,Q59+Q60+Q61)</f>
        <v/>
      </c>
      <c r="R64" s="44">
        <f>SUM(C64:Q64)</f>
        <v/>
      </c>
    </row>
    <row r="65">
      <c r="A65" s="10" t="inlineStr">
        <is>
          <t>Stick shortfall (check: should be 0)</t>
        </is>
      </c>
      <c r="B65" s="6" t="inlineStr">
        <is>
          <t>Must stay 0</t>
        </is>
      </c>
      <c r="C65" s="43">
        <f>C58-C64</f>
        <v/>
      </c>
      <c r="D65" s="43">
        <f>D58-D64</f>
        <v/>
      </c>
      <c r="E65" s="43">
        <f>E58-E64</f>
        <v/>
      </c>
      <c r="F65" s="43">
        <f>F58-F64</f>
        <v/>
      </c>
      <c r="G65" s="43">
        <f>G58-G64</f>
        <v/>
      </c>
      <c r="H65" s="43">
        <f>H58-H64</f>
        <v/>
      </c>
      <c r="I65" s="43">
        <f>I58-I64</f>
        <v/>
      </c>
      <c r="J65" s="43">
        <f>J58-J64</f>
        <v/>
      </c>
      <c r="K65" s="43">
        <f>K58-K64</f>
        <v/>
      </c>
      <c r="L65" s="43">
        <f>L58-L64</f>
        <v/>
      </c>
      <c r="M65" s="43">
        <f>M58-M64</f>
        <v/>
      </c>
      <c r="N65" s="43">
        <f>N58-N64</f>
        <v/>
      </c>
      <c r="O65" s="43">
        <f>O58-O64</f>
        <v/>
      </c>
      <c r="P65" s="43">
        <f>P58-P64</f>
        <v/>
      </c>
      <c r="Q65" s="43">
        <f>Q58-Q64</f>
        <v/>
      </c>
      <c r="R65" s="44">
        <f>SUM(C65:Q65)</f>
        <v/>
      </c>
    </row>
    <row r="66">
      <c r="A66" s="10" t="inlineStr">
        <is>
          <t>Closing stock</t>
        </is>
      </c>
      <c r="C66" s="43">
        <f>C59+C60+C61-C64</f>
        <v/>
      </c>
      <c r="D66" s="43">
        <f>D59+D60+D61-D64</f>
        <v/>
      </c>
      <c r="E66" s="43">
        <f>E59+E60+E61-E64</f>
        <v/>
      </c>
      <c r="F66" s="43">
        <f>F59+F60+F61-F64</f>
        <v/>
      </c>
      <c r="G66" s="43">
        <f>G59+G60+G61-G64</f>
        <v/>
      </c>
      <c r="H66" s="43">
        <f>H59+H60+H61-H64</f>
        <v/>
      </c>
      <c r="I66" s="43">
        <f>I59+I60+I61-I64</f>
        <v/>
      </c>
      <c r="J66" s="43">
        <f>J59+J60+J61-J64</f>
        <v/>
      </c>
      <c r="K66" s="43">
        <f>K59+K60+K61-K64</f>
        <v/>
      </c>
      <c r="L66" s="43">
        <f>L59+L60+L61-L64</f>
        <v/>
      </c>
      <c r="M66" s="43">
        <f>M59+M60+M61-M64</f>
        <v/>
      </c>
      <c r="N66" s="43">
        <f>N59+N60+N61-N64</f>
        <v/>
      </c>
      <c r="O66" s="43">
        <f>O59+O60+O61-O64</f>
        <v/>
      </c>
      <c r="P66" s="43">
        <f>P59+P60+P61-P64</f>
        <v/>
      </c>
      <c r="Q66" s="43">
        <f>Q59+Q60+Q61-Q64</f>
        <v/>
      </c>
    </row>
    <row r="68">
      <c r="A68" s="7" t="inlineStr">
        <is>
          <t>Cash in</t>
        </is>
      </c>
      <c r="B68" s="8" t="n"/>
      <c r="C68" s="8" t="n"/>
      <c r="D68" s="8" t="n"/>
      <c r="E68" s="8" t="n"/>
      <c r="F68" s="8" t="n"/>
      <c r="G68" s="8" t="n"/>
      <c r="H68" s="8" t="n"/>
      <c r="I68" s="8" t="n"/>
      <c r="J68" s="8" t="n"/>
      <c r="K68" s="8" t="n"/>
      <c r="L68" s="8" t="n"/>
      <c r="M68" s="8" t="n"/>
      <c r="N68" s="8" t="n"/>
      <c r="O68" s="8" t="n"/>
      <c r="P68" s="8" t="n"/>
      <c r="Q68" s="8" t="n"/>
      <c r="R68" s="8" t="n"/>
    </row>
    <row r="69">
      <c r="A69" s="10" t="inlineStr">
        <is>
          <t>DTC one-off pouches</t>
        </is>
      </c>
      <c r="C69" s="45">
        <f>C35*in_PricePouch</f>
        <v/>
      </c>
      <c r="D69" s="45">
        <f>D35*in_PricePouch</f>
        <v/>
      </c>
      <c r="E69" s="45">
        <f>E35*in_PricePouch</f>
        <v/>
      </c>
      <c r="F69" s="45">
        <f>F35*in_PricePouch</f>
        <v/>
      </c>
      <c r="G69" s="45">
        <f>G35*in_PricePouch</f>
        <v/>
      </c>
      <c r="H69" s="45">
        <f>H35*in_PricePouch</f>
        <v/>
      </c>
      <c r="I69" s="45">
        <f>I35*in_PricePouch</f>
        <v/>
      </c>
      <c r="J69" s="45">
        <f>J35*in_PricePouch</f>
        <v/>
      </c>
      <c r="K69" s="45">
        <f>K35*in_PricePouch</f>
        <v/>
      </c>
      <c r="L69" s="45">
        <f>L35*in_PricePouch</f>
        <v/>
      </c>
      <c r="M69" s="45">
        <f>M35*in_PricePouch</f>
        <v/>
      </c>
      <c r="N69" s="45">
        <f>N35*in_PricePouch</f>
        <v/>
      </c>
      <c r="O69" s="45">
        <f>O35*in_PricePouch</f>
        <v/>
      </c>
      <c r="P69" s="45">
        <f>P35*in_PricePouch</f>
        <v/>
      </c>
      <c r="Q69" s="45">
        <f>Q35*in_PricePouch</f>
        <v/>
      </c>
      <c r="R69" s="46">
        <f>SUM(C69:Q69)</f>
        <v/>
      </c>
    </row>
    <row r="70">
      <c r="A70" s="10" t="inlineStr">
        <is>
          <t>DTC subscription pouches</t>
        </is>
      </c>
      <c r="C70" s="45">
        <f>C32*in_PricePouch*(1-in_SubDisc)</f>
        <v/>
      </c>
      <c r="D70" s="45">
        <f>D32*in_PricePouch*(1-in_SubDisc)</f>
        <v/>
      </c>
      <c r="E70" s="45">
        <f>E32*in_PricePouch*(1-in_SubDisc)</f>
        <v/>
      </c>
      <c r="F70" s="45">
        <f>F32*in_PricePouch*(1-in_SubDisc)</f>
        <v/>
      </c>
      <c r="G70" s="45">
        <f>G32*in_PricePouch*(1-in_SubDisc)</f>
        <v/>
      </c>
      <c r="H70" s="45">
        <f>H32*in_PricePouch*(1-in_SubDisc)</f>
        <v/>
      </c>
      <c r="I70" s="45">
        <f>I32*in_PricePouch*(1-in_SubDisc)</f>
        <v/>
      </c>
      <c r="J70" s="45">
        <f>J32*in_PricePouch*(1-in_SubDisc)</f>
        <v/>
      </c>
      <c r="K70" s="45">
        <f>K32*in_PricePouch*(1-in_SubDisc)</f>
        <v/>
      </c>
      <c r="L70" s="45">
        <f>L32*in_PricePouch*(1-in_SubDisc)</f>
        <v/>
      </c>
      <c r="M70" s="45">
        <f>M32*in_PricePouch*(1-in_SubDisc)</f>
        <v/>
      </c>
      <c r="N70" s="45">
        <f>N32*in_PricePouch*(1-in_SubDisc)</f>
        <v/>
      </c>
      <c r="O70" s="45">
        <f>O32*in_PricePouch*(1-in_SubDisc)</f>
        <v/>
      </c>
      <c r="P70" s="45">
        <f>P32*in_PricePouch*(1-in_SubDisc)</f>
        <v/>
      </c>
      <c r="Q70" s="45">
        <f>Q32*in_PricePouch*(1-in_SubDisc)</f>
        <v/>
      </c>
      <c r="R70" s="46">
        <f>SUM(C70:Q70)</f>
        <v/>
      </c>
    </row>
    <row r="71">
      <c r="A71" s="10" t="inlineStr">
        <is>
          <t>Founding offer discount (waitlist first orders)</t>
        </is>
      </c>
      <c r="C71" s="45">
        <f>-C27*in_PricePouch*in_FoundDisc</f>
        <v/>
      </c>
      <c r="D71" s="45">
        <f>-D27*in_PricePouch*in_FoundDisc</f>
        <v/>
      </c>
      <c r="E71" s="45">
        <f>-E27*in_PricePouch*in_FoundDisc</f>
        <v/>
      </c>
      <c r="F71" s="45">
        <f>-F27*in_PricePouch*in_FoundDisc</f>
        <v/>
      </c>
      <c r="G71" s="45">
        <f>-G27*in_PricePouch*in_FoundDisc</f>
        <v/>
      </c>
      <c r="H71" s="45">
        <f>-H27*in_PricePouch*in_FoundDisc</f>
        <v/>
      </c>
      <c r="I71" s="45">
        <f>-I27*in_PricePouch*in_FoundDisc</f>
        <v/>
      </c>
      <c r="J71" s="45">
        <f>-J27*in_PricePouch*in_FoundDisc</f>
        <v/>
      </c>
      <c r="K71" s="45">
        <f>-K27*in_PricePouch*in_FoundDisc</f>
        <v/>
      </c>
      <c r="L71" s="45">
        <f>-L27*in_PricePouch*in_FoundDisc</f>
        <v/>
      </c>
      <c r="M71" s="45">
        <f>-M27*in_PricePouch*in_FoundDisc</f>
        <v/>
      </c>
      <c r="N71" s="45">
        <f>-N27*in_PricePouch*in_FoundDisc</f>
        <v/>
      </c>
      <c r="O71" s="45">
        <f>-O27*in_PricePouch*in_FoundDisc</f>
        <v/>
      </c>
      <c r="P71" s="45">
        <f>-P27*in_PricePouch*in_FoundDisc</f>
        <v/>
      </c>
      <c r="Q71" s="45">
        <f>-Q27*in_PricePouch*in_FoundDisc</f>
        <v/>
      </c>
      <c r="R71" s="46">
        <f>SUM(C71:Q71)</f>
        <v/>
      </c>
    </row>
    <row r="72">
      <c r="A72" s="10" t="inlineStr">
        <is>
          <t>DTC stick boxes</t>
        </is>
      </c>
      <c r="C72" s="45">
        <f>C37*in_PriceStickBox</f>
        <v/>
      </c>
      <c r="D72" s="45">
        <f>D37*in_PriceStickBox</f>
        <v/>
      </c>
      <c r="E72" s="45">
        <f>E37*in_PriceStickBox</f>
        <v/>
      </c>
      <c r="F72" s="45">
        <f>F37*in_PriceStickBox</f>
        <v/>
      </c>
      <c r="G72" s="45">
        <f>G37*in_PriceStickBox</f>
        <v/>
      </c>
      <c r="H72" s="45">
        <f>H37*in_PriceStickBox</f>
        <v/>
      </c>
      <c r="I72" s="45">
        <f>I37*in_PriceStickBox</f>
        <v/>
      </c>
      <c r="J72" s="45">
        <f>J37*in_PriceStickBox</f>
        <v/>
      </c>
      <c r="K72" s="45">
        <f>K37*in_PriceStickBox</f>
        <v/>
      </c>
      <c r="L72" s="45">
        <f>L37*in_PriceStickBox</f>
        <v/>
      </c>
      <c r="M72" s="45">
        <f>M37*in_PriceStickBox</f>
        <v/>
      </c>
      <c r="N72" s="45">
        <f>N37*in_PriceStickBox</f>
        <v/>
      </c>
      <c r="O72" s="45">
        <f>O37*in_PriceStickBox</f>
        <v/>
      </c>
      <c r="P72" s="45">
        <f>P37*in_PriceStickBox</f>
        <v/>
      </c>
      <c r="Q72" s="45">
        <f>Q37*in_PriceStickBox</f>
        <v/>
      </c>
      <c r="R72" s="46">
        <f>SUM(C72:Q72)</f>
        <v/>
      </c>
    </row>
    <row r="73">
      <c r="A73" s="10" t="inlineStr">
        <is>
          <t>Shipping charged to customers</t>
        </is>
      </c>
      <c r="C73" s="45">
        <f>IF(in_FreeShip=1,0,(C36+C37)*in_ShipCharge)</f>
        <v/>
      </c>
      <c r="D73" s="45">
        <f>IF(in_FreeShip=1,0,(D36+D37)*in_ShipCharge)</f>
        <v/>
      </c>
      <c r="E73" s="45">
        <f>IF(in_FreeShip=1,0,(E36+E37)*in_ShipCharge)</f>
        <v/>
      </c>
      <c r="F73" s="45">
        <f>IF(in_FreeShip=1,0,(F36+F37)*in_ShipCharge)</f>
        <v/>
      </c>
      <c r="G73" s="45">
        <f>IF(in_FreeShip=1,0,(G36+G37)*in_ShipCharge)</f>
        <v/>
      </c>
      <c r="H73" s="45">
        <f>IF(in_FreeShip=1,0,(H36+H37)*in_ShipCharge)</f>
        <v/>
      </c>
      <c r="I73" s="45">
        <f>IF(in_FreeShip=1,0,(I36+I37)*in_ShipCharge)</f>
        <v/>
      </c>
      <c r="J73" s="45">
        <f>IF(in_FreeShip=1,0,(J36+J37)*in_ShipCharge)</f>
        <v/>
      </c>
      <c r="K73" s="45">
        <f>IF(in_FreeShip=1,0,(K36+K37)*in_ShipCharge)</f>
        <v/>
      </c>
      <c r="L73" s="45">
        <f>IF(in_FreeShip=1,0,(L36+L37)*in_ShipCharge)</f>
        <v/>
      </c>
      <c r="M73" s="45">
        <f>IF(in_FreeShip=1,0,(M36+M37)*in_ShipCharge)</f>
        <v/>
      </c>
      <c r="N73" s="45">
        <f>IF(in_FreeShip=1,0,(N36+N37)*in_ShipCharge)</f>
        <v/>
      </c>
      <c r="O73" s="45">
        <f>IF(in_FreeShip=1,0,(O36+O37)*in_ShipCharge)</f>
        <v/>
      </c>
      <c r="P73" s="45">
        <f>IF(in_FreeShip=1,0,(P36+P37)*in_ShipCharge)</f>
        <v/>
      </c>
      <c r="Q73" s="45">
        <f>IF(in_FreeShip=1,0,(Q36+Q37)*in_ShipCharge)</f>
        <v/>
      </c>
      <c r="R73" s="46">
        <f>SUM(C73:Q73)</f>
        <v/>
      </c>
    </row>
    <row r="74">
      <c r="A74" s="26" t="inlineStr">
        <is>
          <t>DTC revenue</t>
        </is>
      </c>
      <c r="C74" s="47">
        <f>SUM(C69:C73)</f>
        <v/>
      </c>
      <c r="D74" s="47">
        <f>SUM(D69:D73)</f>
        <v/>
      </c>
      <c r="E74" s="47">
        <f>SUM(E69:E73)</f>
        <v/>
      </c>
      <c r="F74" s="47">
        <f>SUM(F69:F73)</f>
        <v/>
      </c>
      <c r="G74" s="47">
        <f>SUM(G69:G73)</f>
        <v/>
      </c>
      <c r="H74" s="47">
        <f>SUM(H69:H73)</f>
        <v/>
      </c>
      <c r="I74" s="47">
        <f>SUM(I69:I73)</f>
        <v/>
      </c>
      <c r="J74" s="47">
        <f>SUM(J69:J73)</f>
        <v/>
      </c>
      <c r="K74" s="47">
        <f>SUM(K69:K73)</f>
        <v/>
      </c>
      <c r="L74" s="47">
        <f>SUM(L69:L73)</f>
        <v/>
      </c>
      <c r="M74" s="47">
        <f>SUM(M69:M73)</f>
        <v/>
      </c>
      <c r="N74" s="47">
        <f>SUM(N69:N73)</f>
        <v/>
      </c>
      <c r="O74" s="47">
        <f>SUM(O69:O73)</f>
        <v/>
      </c>
      <c r="P74" s="47">
        <f>SUM(P69:P73)</f>
        <v/>
      </c>
      <c r="Q74" s="47">
        <f>SUM(Q69:Q73)</f>
        <v/>
      </c>
      <c r="R74" s="46">
        <f>SUM(C74:Q74)</f>
        <v/>
      </c>
    </row>
    <row r="75">
      <c r="A75" s="10" t="inlineStr">
        <is>
          <t>Wholesale invoiced (pouches + sticks)</t>
        </is>
      </c>
      <c r="C75" s="45">
        <f>C42*in_WsPouch+C43*in_WsStick</f>
        <v/>
      </c>
      <c r="D75" s="45">
        <f>D42*in_WsPouch+D43*in_WsStick</f>
        <v/>
      </c>
      <c r="E75" s="45">
        <f>E42*in_WsPouch+E43*in_WsStick</f>
        <v/>
      </c>
      <c r="F75" s="45">
        <f>F42*in_WsPouch+F43*in_WsStick</f>
        <v/>
      </c>
      <c r="G75" s="45">
        <f>G42*in_WsPouch+G43*in_WsStick</f>
        <v/>
      </c>
      <c r="H75" s="45">
        <f>H42*in_WsPouch+H43*in_WsStick</f>
        <v/>
      </c>
      <c r="I75" s="45">
        <f>I42*in_WsPouch+I43*in_WsStick</f>
        <v/>
      </c>
      <c r="J75" s="45">
        <f>J42*in_WsPouch+J43*in_WsStick</f>
        <v/>
      </c>
      <c r="K75" s="45">
        <f>K42*in_WsPouch+K43*in_WsStick</f>
        <v/>
      </c>
      <c r="L75" s="45">
        <f>L42*in_WsPouch+L43*in_WsStick</f>
        <v/>
      </c>
      <c r="M75" s="45">
        <f>M42*in_WsPouch+M43*in_WsStick</f>
        <v/>
      </c>
      <c r="N75" s="45">
        <f>N42*in_WsPouch+N43*in_WsStick</f>
        <v/>
      </c>
      <c r="O75" s="45">
        <f>O42*in_WsPouch+O43*in_WsStick</f>
        <v/>
      </c>
      <c r="P75" s="45">
        <f>P42*in_WsPouch+P43*in_WsStick</f>
        <v/>
      </c>
      <c r="Q75" s="45">
        <f>Q42*in_WsPouch+Q43*in_WsStick</f>
        <v/>
      </c>
      <c r="R75" s="46">
        <f>SUM(C75:Q75)</f>
        <v/>
      </c>
    </row>
    <row r="76">
      <c r="A76" s="10" t="inlineStr">
        <is>
          <t>Wholesale cash collected</t>
        </is>
      </c>
      <c r="B76" s="6" t="inlineStr">
        <is>
          <t>Net 30 toggle</t>
        </is>
      </c>
      <c r="C76" s="45">
        <f>IF(in_Net30=1,0,C75)</f>
        <v/>
      </c>
      <c r="D76" s="45">
        <f>IF(in_Net30=1,C75,D75)</f>
        <v/>
      </c>
      <c r="E76" s="45">
        <f>IF(in_Net30=1,D75,E75)</f>
        <v/>
      </c>
      <c r="F76" s="45">
        <f>IF(in_Net30=1,E75,F75)</f>
        <v/>
      </c>
      <c r="G76" s="45">
        <f>IF(in_Net30=1,F75,G75)</f>
        <v/>
      </c>
      <c r="H76" s="45">
        <f>IF(in_Net30=1,G75,H75)</f>
        <v/>
      </c>
      <c r="I76" s="45">
        <f>IF(in_Net30=1,H75,I75)</f>
        <v/>
      </c>
      <c r="J76" s="45">
        <f>IF(in_Net30=1,I75,J75)</f>
        <v/>
      </c>
      <c r="K76" s="45">
        <f>IF(in_Net30=1,J75,K75)</f>
        <v/>
      </c>
      <c r="L76" s="45">
        <f>IF(in_Net30=1,K75,L75)</f>
        <v/>
      </c>
      <c r="M76" s="45">
        <f>IF(in_Net30=1,L75,M75)</f>
        <v/>
      </c>
      <c r="N76" s="45">
        <f>IF(in_Net30=1,M75,N75)</f>
        <v/>
      </c>
      <c r="O76" s="45">
        <f>IF(in_Net30=1,N75,O75)</f>
        <v/>
      </c>
      <c r="P76" s="45">
        <f>IF(in_Net30=1,O75,P75)</f>
        <v/>
      </c>
      <c r="Q76" s="45">
        <f>IF(in_Net30=1,P75,Q75)</f>
        <v/>
      </c>
      <c r="R76" s="46">
        <f>SUM(C76:Q76)</f>
        <v/>
      </c>
    </row>
    <row r="77">
      <c r="A77" s="26" t="inlineStr">
        <is>
          <t>Total cash in</t>
        </is>
      </c>
      <c r="C77" s="47">
        <f>C74+C76</f>
        <v/>
      </c>
      <c r="D77" s="47">
        <f>D74+D76</f>
        <v/>
      </c>
      <c r="E77" s="47">
        <f>E74+E76</f>
        <v/>
      </c>
      <c r="F77" s="47">
        <f>F74+F76</f>
        <v/>
      </c>
      <c r="G77" s="47">
        <f>G74+G76</f>
        <v/>
      </c>
      <c r="H77" s="47">
        <f>H74+H76</f>
        <v/>
      </c>
      <c r="I77" s="47">
        <f>I74+I76</f>
        <v/>
      </c>
      <c r="J77" s="47">
        <f>J74+J76</f>
        <v/>
      </c>
      <c r="K77" s="47">
        <f>K74+K76</f>
        <v/>
      </c>
      <c r="L77" s="47">
        <f>L74+L76</f>
        <v/>
      </c>
      <c r="M77" s="47">
        <f>M74+M76</f>
        <v/>
      </c>
      <c r="N77" s="47">
        <f>N74+N76</f>
        <v/>
      </c>
      <c r="O77" s="47">
        <f>O74+O76</f>
        <v/>
      </c>
      <c r="P77" s="47">
        <f>P74+P76</f>
        <v/>
      </c>
      <c r="Q77" s="47">
        <f>Q74+Q76</f>
        <v/>
      </c>
      <c r="R77" s="46">
        <f>SUM(C77:Q77)</f>
        <v/>
      </c>
    </row>
    <row r="79">
      <c r="A79" s="7" t="inlineStr">
        <is>
          <t>Inventory purchases (cash out)</t>
        </is>
      </c>
      <c r="B79" s="8" t="n"/>
      <c r="C79" s="8" t="n"/>
      <c r="D79" s="8" t="n"/>
      <c r="E79" s="8" t="n"/>
      <c r="F79" s="8" t="n"/>
      <c r="G79" s="8" t="n"/>
      <c r="H79" s="8" t="n"/>
      <c r="I79" s="8" t="n"/>
      <c r="J79" s="8" t="n"/>
      <c r="K79" s="8" t="n"/>
      <c r="L79" s="8" t="n"/>
      <c r="M79" s="8" t="n"/>
      <c r="N79" s="8" t="n"/>
      <c r="O79" s="8" t="n"/>
      <c r="P79" s="8" t="n"/>
      <c r="Q79" s="8" t="n"/>
      <c r="R79" s="8" t="n"/>
    </row>
    <row r="80">
      <c r="A80" s="10" t="inlineStr">
        <is>
          <t>First pouch run (deposit, then balance; less sample credit)</t>
        </is>
      </c>
      <c r="B80" s="6" t="inlineStr">
        <is>
          <t>Mode-dependent</t>
        </is>
      </c>
      <c r="C80" s="45">
        <f>$B$8*$B$6*(IF(EOMONTH(in_PODate,0)=EOMONTH(C$23,0),in_Deposit,0)+IF(EOMONTH(in_BalanceDate,0)=EOMONTH(C$23,0),1-in_Deposit,0))-IF(EOMONTH(in_PODate,0)=EOMONTH(C$23,0),$B$10,0)</f>
        <v/>
      </c>
      <c r="D80" s="45">
        <f>$B$8*$B$6*(IF(EOMONTH(in_PODate,0)=EOMONTH(D$23,0),in_Deposit,0)+IF(EOMONTH(in_BalanceDate,0)=EOMONTH(D$23,0),1-in_Deposit,0))-IF(EOMONTH(in_PODate,0)=EOMONTH(D$23,0),$B$10,0)</f>
        <v/>
      </c>
      <c r="E80" s="45">
        <f>$B$8*$B$6*(IF(EOMONTH(in_PODate,0)=EOMONTH(E$23,0),in_Deposit,0)+IF(EOMONTH(in_BalanceDate,0)=EOMONTH(E$23,0),1-in_Deposit,0))-IF(EOMONTH(in_PODate,0)=EOMONTH(E$23,0),$B$10,0)</f>
        <v/>
      </c>
      <c r="F80" s="45">
        <f>$B$8*$B$6*(IF(EOMONTH(in_PODate,0)=EOMONTH(F$23,0),in_Deposit,0)+IF(EOMONTH(in_BalanceDate,0)=EOMONTH(F$23,0),1-in_Deposit,0))-IF(EOMONTH(in_PODate,0)=EOMONTH(F$23,0),$B$10,0)</f>
        <v/>
      </c>
      <c r="G80" s="45">
        <f>$B$8*$B$6*(IF(EOMONTH(in_PODate,0)=EOMONTH(G$23,0),in_Deposit,0)+IF(EOMONTH(in_BalanceDate,0)=EOMONTH(G$23,0),1-in_Deposit,0))-IF(EOMONTH(in_PODate,0)=EOMONTH(G$23,0),$B$10,0)</f>
        <v/>
      </c>
      <c r="H80" s="45">
        <f>$B$8*$B$6*(IF(EOMONTH(in_PODate,0)=EOMONTH(H$23,0),in_Deposit,0)+IF(EOMONTH(in_BalanceDate,0)=EOMONTH(H$23,0),1-in_Deposit,0))-IF(EOMONTH(in_PODate,0)=EOMONTH(H$23,0),$B$10,0)</f>
        <v/>
      </c>
      <c r="I80" s="45">
        <f>$B$8*$B$6*(IF(EOMONTH(in_PODate,0)=EOMONTH(I$23,0),in_Deposit,0)+IF(EOMONTH(in_BalanceDate,0)=EOMONTH(I$23,0),1-in_Deposit,0))-IF(EOMONTH(in_PODate,0)=EOMONTH(I$23,0),$B$10,0)</f>
        <v/>
      </c>
      <c r="J80" s="45">
        <f>$B$8*$B$6*(IF(EOMONTH(in_PODate,0)=EOMONTH(J$23,0),in_Deposit,0)+IF(EOMONTH(in_BalanceDate,0)=EOMONTH(J$23,0),1-in_Deposit,0))-IF(EOMONTH(in_PODate,0)=EOMONTH(J$23,0),$B$10,0)</f>
        <v/>
      </c>
      <c r="K80" s="45">
        <f>$B$8*$B$6*(IF(EOMONTH(in_PODate,0)=EOMONTH(K$23,0),in_Deposit,0)+IF(EOMONTH(in_BalanceDate,0)=EOMONTH(K$23,0),1-in_Deposit,0))-IF(EOMONTH(in_PODate,0)=EOMONTH(K$23,0),$B$10,0)</f>
        <v/>
      </c>
      <c r="L80" s="45">
        <f>$B$8*$B$6*(IF(EOMONTH(in_PODate,0)=EOMONTH(L$23,0),in_Deposit,0)+IF(EOMONTH(in_BalanceDate,0)=EOMONTH(L$23,0),1-in_Deposit,0))-IF(EOMONTH(in_PODate,0)=EOMONTH(L$23,0),$B$10,0)</f>
        <v/>
      </c>
      <c r="M80" s="45">
        <f>$B$8*$B$6*(IF(EOMONTH(in_PODate,0)=EOMONTH(M$23,0),in_Deposit,0)+IF(EOMONTH(in_BalanceDate,0)=EOMONTH(M$23,0),1-in_Deposit,0))-IF(EOMONTH(in_PODate,0)=EOMONTH(M$23,0),$B$10,0)</f>
        <v/>
      </c>
      <c r="N80" s="45">
        <f>$B$8*$B$6*(IF(EOMONTH(in_PODate,0)=EOMONTH(N$23,0),in_Deposit,0)+IF(EOMONTH(in_BalanceDate,0)=EOMONTH(N$23,0),1-in_Deposit,0))-IF(EOMONTH(in_PODate,0)=EOMONTH(N$23,0),$B$10,0)</f>
        <v/>
      </c>
      <c r="O80" s="45">
        <f>$B$8*$B$6*(IF(EOMONTH(in_PODate,0)=EOMONTH(O$23,0),in_Deposit,0)+IF(EOMONTH(in_BalanceDate,0)=EOMONTH(O$23,0),1-in_Deposit,0))-IF(EOMONTH(in_PODate,0)=EOMONTH(O$23,0),$B$10,0)</f>
        <v/>
      </c>
      <c r="P80" s="45">
        <f>$B$8*$B$6*(IF(EOMONTH(in_PODate,0)=EOMONTH(P$23,0),in_Deposit,0)+IF(EOMONTH(in_BalanceDate,0)=EOMONTH(P$23,0),1-in_Deposit,0))-IF(EOMONTH(in_PODate,0)=EOMONTH(P$23,0),$B$10,0)</f>
        <v/>
      </c>
      <c r="Q80" s="45">
        <f>$B$8*$B$6*(IF(EOMONTH(in_PODate,0)=EOMONTH(Q$23,0),in_Deposit,0)+IF(EOMONTH(in_BalanceDate,0)=EOMONTH(Q$23,0),1-in_Deposit,0))-IF(EOMONTH(in_PODate,0)=EOMONTH(Q$23,0),$B$10,0)</f>
        <v/>
      </c>
      <c r="R80" s="46">
        <f>SUM(C80:Q80)</f>
        <v/>
      </c>
    </row>
    <row r="81">
      <c r="A81" s="10" t="inlineStr">
        <is>
          <t>First protein stick run (deposit, then balance)</t>
        </is>
      </c>
      <c r="C81" s="45">
        <f>$B$9*$B$7*(IF(EOMONTH(in_PODate,0)=EOMONTH(C$23,0),in_Deposit,0)+IF(EOMONTH(in_BalanceDate,0)=EOMONTH(C$23,0),1-in_Deposit,0))</f>
        <v/>
      </c>
      <c r="D81" s="45">
        <f>$B$9*$B$7*(IF(EOMONTH(in_PODate,0)=EOMONTH(D$23,0),in_Deposit,0)+IF(EOMONTH(in_BalanceDate,0)=EOMONTH(D$23,0),1-in_Deposit,0))</f>
        <v/>
      </c>
      <c r="E81" s="45">
        <f>$B$9*$B$7*(IF(EOMONTH(in_PODate,0)=EOMONTH(E$23,0),in_Deposit,0)+IF(EOMONTH(in_BalanceDate,0)=EOMONTH(E$23,0),1-in_Deposit,0))</f>
        <v/>
      </c>
      <c r="F81" s="45">
        <f>$B$9*$B$7*(IF(EOMONTH(in_PODate,0)=EOMONTH(F$23,0),in_Deposit,0)+IF(EOMONTH(in_BalanceDate,0)=EOMONTH(F$23,0),1-in_Deposit,0))</f>
        <v/>
      </c>
      <c r="G81" s="45">
        <f>$B$9*$B$7*(IF(EOMONTH(in_PODate,0)=EOMONTH(G$23,0),in_Deposit,0)+IF(EOMONTH(in_BalanceDate,0)=EOMONTH(G$23,0),1-in_Deposit,0))</f>
        <v/>
      </c>
      <c r="H81" s="45">
        <f>$B$9*$B$7*(IF(EOMONTH(in_PODate,0)=EOMONTH(H$23,0),in_Deposit,0)+IF(EOMONTH(in_BalanceDate,0)=EOMONTH(H$23,0),1-in_Deposit,0))</f>
        <v/>
      </c>
      <c r="I81" s="45">
        <f>$B$9*$B$7*(IF(EOMONTH(in_PODate,0)=EOMONTH(I$23,0),in_Deposit,0)+IF(EOMONTH(in_BalanceDate,0)=EOMONTH(I$23,0),1-in_Deposit,0))</f>
        <v/>
      </c>
      <c r="J81" s="45">
        <f>$B$9*$B$7*(IF(EOMONTH(in_PODate,0)=EOMONTH(J$23,0),in_Deposit,0)+IF(EOMONTH(in_BalanceDate,0)=EOMONTH(J$23,0),1-in_Deposit,0))</f>
        <v/>
      </c>
      <c r="K81" s="45">
        <f>$B$9*$B$7*(IF(EOMONTH(in_PODate,0)=EOMONTH(K$23,0),in_Deposit,0)+IF(EOMONTH(in_BalanceDate,0)=EOMONTH(K$23,0),1-in_Deposit,0))</f>
        <v/>
      </c>
      <c r="L81" s="45">
        <f>$B$9*$B$7*(IF(EOMONTH(in_PODate,0)=EOMONTH(L$23,0),in_Deposit,0)+IF(EOMONTH(in_BalanceDate,0)=EOMONTH(L$23,0),1-in_Deposit,0))</f>
        <v/>
      </c>
      <c r="M81" s="45">
        <f>$B$9*$B$7*(IF(EOMONTH(in_PODate,0)=EOMONTH(M$23,0),in_Deposit,0)+IF(EOMONTH(in_BalanceDate,0)=EOMONTH(M$23,0),1-in_Deposit,0))</f>
        <v/>
      </c>
      <c r="N81" s="45">
        <f>$B$9*$B$7*(IF(EOMONTH(in_PODate,0)=EOMONTH(N$23,0),in_Deposit,0)+IF(EOMONTH(in_BalanceDate,0)=EOMONTH(N$23,0),1-in_Deposit,0))</f>
        <v/>
      </c>
      <c r="O81" s="45">
        <f>$B$9*$B$7*(IF(EOMONTH(in_PODate,0)=EOMONTH(O$23,0),in_Deposit,0)+IF(EOMONTH(in_BalanceDate,0)=EOMONTH(O$23,0),1-in_Deposit,0))</f>
        <v/>
      </c>
      <c r="P81" s="45">
        <f>$B$9*$B$7*(IF(EOMONTH(in_PODate,0)=EOMONTH(P$23,0),in_Deposit,0)+IF(EOMONTH(in_BalanceDate,0)=EOMONTH(P$23,0),1-in_Deposit,0))</f>
        <v/>
      </c>
      <c r="Q81" s="45">
        <f>$B$9*$B$7*(IF(EOMONTH(in_PODate,0)=EOMONTH(Q$23,0),in_Deposit,0)+IF(EOMONTH(in_BalanceDate,0)=EOMONTH(Q$23,0),1-in_Deposit,0))</f>
        <v/>
      </c>
      <c r="R81" s="46">
        <f>SUM(C81:Q81)</f>
        <v/>
      </c>
    </row>
    <row r="82">
      <c r="A82" s="10" t="inlineStr">
        <is>
          <t>Second flavour first run</t>
        </is>
      </c>
      <c r="C82" s="45">
        <f>C49*$B$6</f>
        <v/>
      </c>
      <c r="D82" s="45">
        <f>D49*$B$6</f>
        <v/>
      </c>
      <c r="E82" s="45">
        <f>E49*$B$6</f>
        <v/>
      </c>
      <c r="F82" s="45">
        <f>F49*$B$6</f>
        <v/>
      </c>
      <c r="G82" s="45">
        <f>G49*$B$6</f>
        <v/>
      </c>
      <c r="H82" s="45">
        <f>H49*$B$6</f>
        <v/>
      </c>
      <c r="I82" s="45">
        <f>I49*$B$6</f>
        <v/>
      </c>
      <c r="J82" s="45">
        <f>J49*$B$6</f>
        <v/>
      </c>
      <c r="K82" s="45">
        <f>K49*$B$6</f>
        <v/>
      </c>
      <c r="L82" s="45">
        <f>L49*$B$6</f>
        <v/>
      </c>
      <c r="M82" s="45">
        <f>M49*$B$6</f>
        <v/>
      </c>
      <c r="N82" s="45">
        <f>N49*$B$6</f>
        <v/>
      </c>
      <c r="O82" s="45">
        <f>O49*$B$6</f>
        <v/>
      </c>
      <c r="P82" s="45">
        <f>P49*$B$6</f>
        <v/>
      </c>
      <c r="Q82" s="45">
        <f>Q49*$B$6</f>
        <v/>
      </c>
      <c r="R82" s="46">
        <f>SUM(C82:Q82)</f>
        <v/>
      </c>
    </row>
    <row r="83">
      <c r="A83" s="10" t="inlineStr">
        <is>
          <t>Reorders placed (pouches and sticks, paid in full when placed)</t>
        </is>
      </c>
      <c r="C83" s="45">
        <f>C52*$B$6+C63*$B$7</f>
        <v/>
      </c>
      <c r="D83" s="45">
        <f>D52*$B$6+D63*$B$7</f>
        <v/>
      </c>
      <c r="E83" s="45">
        <f>E52*$B$6+E63*$B$7</f>
        <v/>
      </c>
      <c r="F83" s="45">
        <f>F52*$B$6+F63*$B$7</f>
        <v/>
      </c>
      <c r="G83" s="45">
        <f>G52*$B$6+G63*$B$7</f>
        <v/>
      </c>
      <c r="H83" s="45">
        <f>H52*$B$6+H63*$B$7</f>
        <v/>
      </c>
      <c r="I83" s="45">
        <f>I52*$B$6+I63*$B$7</f>
        <v/>
      </c>
      <c r="J83" s="45">
        <f>J52*$B$6+J63*$B$7</f>
        <v/>
      </c>
      <c r="K83" s="45">
        <f>K52*$B$6+K63*$B$7</f>
        <v/>
      </c>
      <c r="L83" s="45">
        <f>L52*$B$6+L63*$B$7</f>
        <v/>
      </c>
      <c r="M83" s="45">
        <f>M52*$B$6+M63*$B$7</f>
        <v/>
      </c>
      <c r="N83" s="45">
        <f>N52*$B$6+N63*$B$7</f>
        <v/>
      </c>
      <c r="O83" s="45">
        <f>O52*$B$6+O63*$B$7</f>
        <v/>
      </c>
      <c r="P83" s="45">
        <f>P52*$B$6+P63*$B$7</f>
        <v/>
      </c>
      <c r="Q83" s="45">
        <f>Q52*$B$6+Q63*$B$7</f>
        <v/>
      </c>
      <c r="R83" s="46">
        <f>SUM(C83:Q83)</f>
        <v/>
      </c>
    </row>
    <row r="84">
      <c r="A84" s="26" t="inlineStr">
        <is>
          <t>Total inventory purchases</t>
        </is>
      </c>
      <c r="C84" s="47">
        <f>SUM(C80:C83)</f>
        <v/>
      </c>
      <c r="D84" s="47">
        <f>SUM(D80:D83)</f>
        <v/>
      </c>
      <c r="E84" s="47">
        <f>SUM(E80:E83)</f>
        <v/>
      </c>
      <c r="F84" s="47">
        <f>SUM(F80:F83)</f>
        <v/>
      </c>
      <c r="G84" s="47">
        <f>SUM(G80:G83)</f>
        <v/>
      </c>
      <c r="H84" s="47">
        <f>SUM(H80:H83)</f>
        <v/>
      </c>
      <c r="I84" s="47">
        <f>SUM(I80:I83)</f>
        <v/>
      </c>
      <c r="J84" s="47">
        <f>SUM(J80:J83)</f>
        <v/>
      </c>
      <c r="K84" s="47">
        <f>SUM(K80:K83)</f>
        <v/>
      </c>
      <c r="L84" s="47">
        <f>SUM(L80:L83)</f>
        <v/>
      </c>
      <c r="M84" s="47">
        <f>SUM(M80:M83)</f>
        <v/>
      </c>
      <c r="N84" s="47">
        <f>SUM(N80:N83)</f>
        <v/>
      </c>
      <c r="O84" s="47">
        <f>SUM(O80:O83)</f>
        <v/>
      </c>
      <c r="P84" s="47">
        <f>SUM(P80:P83)</f>
        <v/>
      </c>
      <c r="Q84" s="47">
        <f>SUM(Q80:Q83)</f>
        <v/>
      </c>
      <c r="R84" s="46">
        <f>SUM(C84:Q84)</f>
        <v/>
      </c>
    </row>
    <row r="86">
      <c r="A86" s="7" t="inlineStr">
        <is>
          <t>Variable costs (cash out)</t>
        </is>
      </c>
      <c r="B86" s="8" t="n"/>
      <c r="C86" s="8" t="n"/>
      <c r="D86" s="8" t="n"/>
      <c r="E86" s="8" t="n"/>
      <c r="F86" s="8" t="n"/>
      <c r="G86" s="8" t="n"/>
      <c r="H86" s="8" t="n"/>
      <c r="I86" s="8" t="n"/>
      <c r="J86" s="8" t="n"/>
      <c r="K86" s="8" t="n"/>
      <c r="L86" s="8" t="n"/>
      <c r="M86" s="8" t="n"/>
      <c r="N86" s="8" t="n"/>
      <c r="O86" s="8" t="n"/>
      <c r="P86" s="8" t="n"/>
      <c r="Q86" s="8" t="n"/>
      <c r="R86" s="8" t="n"/>
    </row>
    <row r="87">
      <c r="A87" s="10" t="inlineStr">
        <is>
          <t>DTC shipping and packing</t>
        </is>
      </c>
      <c r="C87" s="45">
        <f>(C36+C37)*in_ShipOrder</f>
        <v/>
      </c>
      <c r="D87" s="45">
        <f>(D36+D37)*in_ShipOrder</f>
        <v/>
      </c>
      <c r="E87" s="45">
        <f>(E36+E37)*in_ShipOrder</f>
        <v/>
      </c>
      <c r="F87" s="45">
        <f>(F36+F37)*in_ShipOrder</f>
        <v/>
      </c>
      <c r="G87" s="45">
        <f>(G36+G37)*in_ShipOrder</f>
        <v/>
      </c>
      <c r="H87" s="45">
        <f>(H36+H37)*in_ShipOrder</f>
        <v/>
      </c>
      <c r="I87" s="45">
        <f>(I36+I37)*in_ShipOrder</f>
        <v/>
      </c>
      <c r="J87" s="45">
        <f>(J36+J37)*in_ShipOrder</f>
        <v/>
      </c>
      <c r="K87" s="45">
        <f>(K36+K37)*in_ShipOrder</f>
        <v/>
      </c>
      <c r="L87" s="45">
        <f>(L36+L37)*in_ShipOrder</f>
        <v/>
      </c>
      <c r="M87" s="45">
        <f>(M36+M37)*in_ShipOrder</f>
        <v/>
      </c>
      <c r="N87" s="45">
        <f>(N36+N37)*in_ShipOrder</f>
        <v/>
      </c>
      <c r="O87" s="45">
        <f>(O36+O37)*in_ShipOrder</f>
        <v/>
      </c>
      <c r="P87" s="45">
        <f>(P36+P37)*in_ShipOrder</f>
        <v/>
      </c>
      <c r="Q87" s="45">
        <f>(Q36+Q37)*in_ShipOrder</f>
        <v/>
      </c>
      <c r="R87" s="46">
        <f>SUM(C87:Q87)</f>
        <v/>
      </c>
    </row>
    <row r="88">
      <c r="A88" s="10" t="inlineStr">
        <is>
          <t>Freight to stores</t>
        </is>
      </c>
      <c r="C88" s="45">
        <f>C42*in_FreightPouch+C43*in_FreightStick</f>
        <v/>
      </c>
      <c r="D88" s="45">
        <f>D42*in_FreightPouch+D43*in_FreightStick</f>
        <v/>
      </c>
      <c r="E88" s="45">
        <f>E42*in_FreightPouch+E43*in_FreightStick</f>
        <v/>
      </c>
      <c r="F88" s="45">
        <f>F42*in_FreightPouch+F43*in_FreightStick</f>
        <v/>
      </c>
      <c r="G88" s="45">
        <f>G42*in_FreightPouch+G43*in_FreightStick</f>
        <v/>
      </c>
      <c r="H88" s="45">
        <f>H42*in_FreightPouch+H43*in_FreightStick</f>
        <v/>
      </c>
      <c r="I88" s="45">
        <f>I42*in_FreightPouch+I43*in_FreightStick</f>
        <v/>
      </c>
      <c r="J88" s="45">
        <f>J42*in_FreightPouch+J43*in_FreightStick</f>
        <v/>
      </c>
      <c r="K88" s="45">
        <f>K42*in_FreightPouch+K43*in_FreightStick</f>
        <v/>
      </c>
      <c r="L88" s="45">
        <f>L42*in_FreightPouch+L43*in_FreightStick</f>
        <v/>
      </c>
      <c r="M88" s="45">
        <f>M42*in_FreightPouch+M43*in_FreightStick</f>
        <v/>
      </c>
      <c r="N88" s="45">
        <f>N42*in_FreightPouch+N43*in_FreightStick</f>
        <v/>
      </c>
      <c r="O88" s="45">
        <f>O42*in_FreightPouch+O43*in_FreightStick</f>
        <v/>
      </c>
      <c r="P88" s="45">
        <f>P42*in_FreightPouch+P43*in_FreightStick</f>
        <v/>
      </c>
      <c r="Q88" s="45">
        <f>Q42*in_FreightPouch+Q43*in_FreightStick</f>
        <v/>
      </c>
      <c r="R88" s="46">
        <f>SUM(C88:Q88)</f>
        <v/>
      </c>
    </row>
    <row r="89">
      <c r="A89" s="10" t="inlineStr">
        <is>
          <t>Card fees</t>
        </is>
      </c>
      <c r="C89" s="45">
        <f>C74*in_CardPct+(C36+C37)*in_CardFixed</f>
        <v/>
      </c>
      <c r="D89" s="45">
        <f>D74*in_CardPct+(D36+D37)*in_CardFixed</f>
        <v/>
      </c>
      <c r="E89" s="45">
        <f>E74*in_CardPct+(E36+E37)*in_CardFixed</f>
        <v/>
      </c>
      <c r="F89" s="45">
        <f>F74*in_CardPct+(F36+F37)*in_CardFixed</f>
        <v/>
      </c>
      <c r="G89" s="45">
        <f>G74*in_CardPct+(G36+G37)*in_CardFixed</f>
        <v/>
      </c>
      <c r="H89" s="45">
        <f>H74*in_CardPct+(H36+H37)*in_CardFixed</f>
        <v/>
      </c>
      <c r="I89" s="45">
        <f>I74*in_CardPct+(I36+I37)*in_CardFixed</f>
        <v/>
      </c>
      <c r="J89" s="45">
        <f>J74*in_CardPct+(J36+J37)*in_CardFixed</f>
        <v/>
      </c>
      <c r="K89" s="45">
        <f>K74*in_CardPct+(K36+K37)*in_CardFixed</f>
        <v/>
      </c>
      <c r="L89" s="45">
        <f>L74*in_CardPct+(L36+L37)*in_CardFixed</f>
        <v/>
      </c>
      <c r="M89" s="45">
        <f>M74*in_CardPct+(M36+M37)*in_CardFixed</f>
        <v/>
      </c>
      <c r="N89" s="45">
        <f>N74*in_CardPct+(N36+N37)*in_CardFixed</f>
        <v/>
      </c>
      <c r="O89" s="45">
        <f>O74*in_CardPct+(O36+O37)*in_CardFixed</f>
        <v/>
      </c>
      <c r="P89" s="45">
        <f>P74*in_CardPct+(P36+P37)*in_CardFixed</f>
        <v/>
      </c>
      <c r="Q89" s="45">
        <f>Q74*in_CardPct+(Q36+Q37)*in_CardFixed</f>
        <v/>
      </c>
      <c r="R89" s="46">
        <f>SUM(C89:Q89)</f>
        <v/>
      </c>
    </row>
    <row r="90">
      <c r="A90" s="10" t="inlineStr">
        <is>
          <t>Founding offer free shakers</t>
        </is>
      </c>
      <c r="C90" s="45">
        <f>C27*in_ShakerCost</f>
        <v/>
      </c>
      <c r="D90" s="45">
        <f>D27*in_ShakerCost</f>
        <v/>
      </c>
      <c r="E90" s="45">
        <f>E27*in_ShakerCost</f>
        <v/>
      </c>
      <c r="F90" s="45">
        <f>F27*in_ShakerCost</f>
        <v/>
      </c>
      <c r="G90" s="45">
        <f>G27*in_ShakerCost</f>
        <v/>
      </c>
      <c r="H90" s="45">
        <f>H27*in_ShakerCost</f>
        <v/>
      </c>
      <c r="I90" s="45">
        <f>I27*in_ShakerCost</f>
        <v/>
      </c>
      <c r="J90" s="45">
        <f>J27*in_ShakerCost</f>
        <v/>
      </c>
      <c r="K90" s="45">
        <f>K27*in_ShakerCost</f>
        <v/>
      </c>
      <c r="L90" s="45">
        <f>L27*in_ShakerCost</f>
        <v/>
      </c>
      <c r="M90" s="45">
        <f>M27*in_ShakerCost</f>
        <v/>
      </c>
      <c r="N90" s="45">
        <f>N27*in_ShakerCost</f>
        <v/>
      </c>
      <c r="O90" s="45">
        <f>O27*in_ShakerCost</f>
        <v/>
      </c>
      <c r="P90" s="45">
        <f>P27*in_ShakerCost</f>
        <v/>
      </c>
      <c r="Q90" s="45">
        <f>Q27*in_ShakerCost</f>
        <v/>
      </c>
      <c r="R90" s="46">
        <f>SUM(C90:Q90)</f>
        <v/>
      </c>
    </row>
    <row r="91">
      <c r="A91" s="26" t="inlineStr">
        <is>
          <t>Total variable costs</t>
        </is>
      </c>
      <c r="C91" s="47">
        <f>SUM(C87:C90)</f>
        <v/>
      </c>
      <c r="D91" s="47">
        <f>SUM(D87:D90)</f>
        <v/>
      </c>
      <c r="E91" s="47">
        <f>SUM(E87:E90)</f>
        <v/>
      </c>
      <c r="F91" s="47">
        <f>SUM(F87:F90)</f>
        <v/>
      </c>
      <c r="G91" s="47">
        <f>SUM(G87:G90)</f>
        <v/>
      </c>
      <c r="H91" s="47">
        <f>SUM(H87:H90)</f>
        <v/>
      </c>
      <c r="I91" s="47">
        <f>SUM(I87:I90)</f>
        <v/>
      </c>
      <c r="J91" s="47">
        <f>SUM(J87:J90)</f>
        <v/>
      </c>
      <c r="K91" s="47">
        <f>SUM(K87:K90)</f>
        <v/>
      </c>
      <c r="L91" s="47">
        <f>SUM(L87:L90)</f>
        <v/>
      </c>
      <c r="M91" s="47">
        <f>SUM(M87:M90)</f>
        <v/>
      </c>
      <c r="N91" s="47">
        <f>SUM(N87:N90)</f>
        <v/>
      </c>
      <c r="O91" s="47">
        <f>SUM(O87:O90)</f>
        <v/>
      </c>
      <c r="P91" s="47">
        <f>SUM(P87:P90)</f>
        <v/>
      </c>
      <c r="Q91" s="47">
        <f>SUM(Q87:Q90)</f>
        <v/>
      </c>
      <c r="R91" s="46">
        <f>SUM(C91:Q91)</f>
        <v/>
      </c>
    </row>
    <row r="93">
      <c r="A93" s="7" t="inlineStr">
        <is>
          <t>Marketing (cash out)</t>
        </is>
      </c>
      <c r="B93" s="8" t="n"/>
      <c r="C93" s="8" t="n"/>
      <c r="D93" s="8" t="n"/>
      <c r="E93" s="8" t="n"/>
      <c r="F93" s="8" t="n"/>
      <c r="G93" s="8" t="n"/>
      <c r="H93" s="8" t="n"/>
      <c r="I93" s="8" t="n"/>
      <c r="J93" s="8" t="n"/>
      <c r="K93" s="8" t="n"/>
      <c r="L93" s="8" t="n"/>
      <c r="M93" s="8" t="n"/>
      <c r="N93" s="8" t="n"/>
      <c r="O93" s="8" t="n"/>
      <c r="P93" s="8" t="n"/>
      <c r="Q93" s="8" t="n"/>
      <c r="R93" s="8" t="n"/>
    </row>
    <row r="94">
      <c r="A94" s="10" t="inlineStr">
        <is>
          <t>Paid acquisition (paid new customers x CAC)</t>
        </is>
      </c>
      <c r="C94" s="45">
        <f>C29*in_CAC</f>
        <v/>
      </c>
      <c r="D94" s="45">
        <f>D29*in_CAC</f>
        <v/>
      </c>
      <c r="E94" s="45">
        <f>E29*in_CAC</f>
        <v/>
      </c>
      <c r="F94" s="45">
        <f>F29*in_CAC</f>
        <v/>
      </c>
      <c r="G94" s="45">
        <f>G29*in_CAC</f>
        <v/>
      </c>
      <c r="H94" s="45">
        <f>H29*in_CAC</f>
        <v/>
      </c>
      <c r="I94" s="45">
        <f>I29*in_CAC</f>
        <v/>
      </c>
      <c r="J94" s="45">
        <f>J29*in_CAC</f>
        <v/>
      </c>
      <c r="K94" s="45">
        <f>K29*in_CAC</f>
        <v/>
      </c>
      <c r="L94" s="45">
        <f>L29*in_CAC</f>
        <v/>
      </c>
      <c r="M94" s="45">
        <f>M29*in_CAC</f>
        <v/>
      </c>
      <c r="N94" s="45">
        <f>N29*in_CAC</f>
        <v/>
      </c>
      <c r="O94" s="45">
        <f>O29*in_CAC</f>
        <v/>
      </c>
      <c r="P94" s="45">
        <f>P29*in_CAC</f>
        <v/>
      </c>
      <c r="Q94" s="45">
        <f>Q29*in_CAC</f>
        <v/>
      </c>
      <c r="R94" s="46">
        <f>SUM(C94:Q94)</f>
        <v/>
      </c>
    </row>
    <row r="95">
      <c r="A95" s="10" t="inlineStr">
        <is>
          <t>Sampling and content</t>
        </is>
      </c>
      <c r="C95" s="45">
        <f>IF(C$23&gt;=DATE(YEAR(in_SampleStart),MONTH(in_SampleStart),1),in_SampleBudget,0)</f>
        <v/>
      </c>
      <c r="D95" s="45">
        <f>IF(D$23&gt;=DATE(YEAR(in_SampleStart),MONTH(in_SampleStart),1),in_SampleBudget,0)</f>
        <v/>
      </c>
      <c r="E95" s="45">
        <f>IF(E$23&gt;=DATE(YEAR(in_SampleStart),MONTH(in_SampleStart),1),in_SampleBudget,0)</f>
        <v/>
      </c>
      <c r="F95" s="45">
        <f>IF(F$23&gt;=DATE(YEAR(in_SampleStart),MONTH(in_SampleStart),1),in_SampleBudget,0)</f>
        <v/>
      </c>
      <c r="G95" s="45">
        <f>IF(G$23&gt;=DATE(YEAR(in_SampleStart),MONTH(in_SampleStart),1),in_SampleBudget,0)</f>
        <v/>
      </c>
      <c r="H95" s="45">
        <f>IF(H$23&gt;=DATE(YEAR(in_SampleStart),MONTH(in_SampleStart),1),in_SampleBudget,0)</f>
        <v/>
      </c>
      <c r="I95" s="45">
        <f>IF(I$23&gt;=DATE(YEAR(in_SampleStart),MONTH(in_SampleStart),1),in_SampleBudget,0)</f>
        <v/>
      </c>
      <c r="J95" s="45">
        <f>IF(J$23&gt;=DATE(YEAR(in_SampleStart),MONTH(in_SampleStart),1),in_SampleBudget,0)</f>
        <v/>
      </c>
      <c r="K95" s="45">
        <f>IF(K$23&gt;=DATE(YEAR(in_SampleStart),MONTH(in_SampleStart),1),in_SampleBudget,0)</f>
        <v/>
      </c>
      <c r="L95" s="45">
        <f>IF(L$23&gt;=DATE(YEAR(in_SampleStart),MONTH(in_SampleStart),1),in_SampleBudget,0)</f>
        <v/>
      </c>
      <c r="M95" s="45">
        <f>IF(M$23&gt;=DATE(YEAR(in_SampleStart),MONTH(in_SampleStart),1),in_SampleBudget,0)</f>
        <v/>
      </c>
      <c r="N95" s="45">
        <f>IF(N$23&gt;=DATE(YEAR(in_SampleStart),MONTH(in_SampleStart),1),in_SampleBudget,0)</f>
        <v/>
      </c>
      <c r="O95" s="45">
        <f>IF(O$23&gt;=DATE(YEAR(in_SampleStart),MONTH(in_SampleStart),1),in_SampleBudget,0)</f>
        <v/>
      </c>
      <c r="P95" s="45">
        <f>IF(P$23&gt;=DATE(YEAR(in_SampleStart),MONTH(in_SampleStart),1),in_SampleBudget,0)</f>
        <v/>
      </c>
      <c r="Q95" s="45">
        <f>IF(Q$23&gt;=DATE(YEAR(in_SampleStart),MONTH(in_SampleStart),1),in_SampleBudget,0)</f>
        <v/>
      </c>
      <c r="R95" s="46">
        <f>SUM(C95:Q95)</f>
        <v/>
      </c>
    </row>
    <row r="96">
      <c r="A96" s="26" t="inlineStr">
        <is>
          <t>Total marketing</t>
        </is>
      </c>
      <c r="C96" s="47">
        <f>C94+C95</f>
        <v/>
      </c>
      <c r="D96" s="47">
        <f>D94+D95</f>
        <v/>
      </c>
      <c r="E96" s="47">
        <f>E94+E95</f>
        <v/>
      </c>
      <c r="F96" s="47">
        <f>F94+F95</f>
        <v/>
      </c>
      <c r="G96" s="47">
        <f>G94+G95</f>
        <v/>
      </c>
      <c r="H96" s="47">
        <f>H94+H95</f>
        <v/>
      </c>
      <c r="I96" s="47">
        <f>I94+I95</f>
        <v/>
      </c>
      <c r="J96" s="47">
        <f>J94+J95</f>
        <v/>
      </c>
      <c r="K96" s="47">
        <f>K94+K95</f>
        <v/>
      </c>
      <c r="L96" s="47">
        <f>L94+L95</f>
        <v/>
      </c>
      <c r="M96" s="47">
        <f>M94+M95</f>
        <v/>
      </c>
      <c r="N96" s="47">
        <f>N94+N95</f>
        <v/>
      </c>
      <c r="O96" s="47">
        <f>O94+O95</f>
        <v/>
      </c>
      <c r="P96" s="47">
        <f>P94+P95</f>
        <v/>
      </c>
      <c r="Q96" s="47">
        <f>Q94+Q95</f>
        <v/>
      </c>
      <c r="R96" s="46">
        <f>SUM(C96:Q96)</f>
        <v/>
      </c>
    </row>
    <row r="98">
      <c r="A98" s="7" t="inlineStr">
        <is>
          <t>Fixed costs (cash out)</t>
        </is>
      </c>
      <c r="B98" s="8" t="n"/>
      <c r="C98" s="8" t="n"/>
      <c r="D98" s="8" t="n"/>
      <c r="E98" s="8" t="n"/>
      <c r="F98" s="8" t="n"/>
      <c r="G98" s="8" t="n"/>
      <c r="H98" s="8" t="n"/>
      <c r="I98" s="8" t="n"/>
      <c r="J98" s="8" t="n"/>
      <c r="K98" s="8" t="n"/>
      <c r="L98" s="8" t="n"/>
      <c r="M98" s="8" t="n"/>
      <c r="N98" s="8" t="n"/>
      <c r="O98" s="8" t="n"/>
      <c r="P98" s="8" t="n"/>
      <c r="Q98" s="8" t="n"/>
      <c r="R98" s="8" t="n"/>
    </row>
    <row r="99">
      <c r="A99" s="10" t="inlineStr">
        <is>
          <t>Shopify Basic</t>
        </is>
      </c>
      <c r="C99" s="45">
        <f>IF(C$23&gt;=DATE(YEAR(in_FxShopify_Start),MONTH(in_FxShopify_Start),1),in_FxShopify,0)</f>
        <v/>
      </c>
      <c r="D99" s="45">
        <f>IF(D$23&gt;=DATE(YEAR(in_FxShopify_Start),MONTH(in_FxShopify_Start),1),in_FxShopify,0)</f>
        <v/>
      </c>
      <c r="E99" s="45">
        <f>IF(E$23&gt;=DATE(YEAR(in_FxShopify_Start),MONTH(in_FxShopify_Start),1),in_FxShopify,0)</f>
        <v/>
      </c>
      <c r="F99" s="45">
        <f>IF(F$23&gt;=DATE(YEAR(in_FxShopify_Start),MONTH(in_FxShopify_Start),1),in_FxShopify,0)</f>
        <v/>
      </c>
      <c r="G99" s="45">
        <f>IF(G$23&gt;=DATE(YEAR(in_FxShopify_Start),MONTH(in_FxShopify_Start),1),in_FxShopify,0)</f>
        <v/>
      </c>
      <c r="H99" s="45">
        <f>IF(H$23&gt;=DATE(YEAR(in_FxShopify_Start),MONTH(in_FxShopify_Start),1),in_FxShopify,0)</f>
        <v/>
      </c>
      <c r="I99" s="45">
        <f>IF(I$23&gt;=DATE(YEAR(in_FxShopify_Start),MONTH(in_FxShopify_Start),1),in_FxShopify,0)</f>
        <v/>
      </c>
      <c r="J99" s="45">
        <f>IF(J$23&gt;=DATE(YEAR(in_FxShopify_Start),MONTH(in_FxShopify_Start),1),in_FxShopify,0)</f>
        <v/>
      </c>
      <c r="K99" s="45">
        <f>IF(K$23&gt;=DATE(YEAR(in_FxShopify_Start),MONTH(in_FxShopify_Start),1),in_FxShopify,0)</f>
        <v/>
      </c>
      <c r="L99" s="45">
        <f>IF(L$23&gt;=DATE(YEAR(in_FxShopify_Start),MONTH(in_FxShopify_Start),1),in_FxShopify,0)</f>
        <v/>
      </c>
      <c r="M99" s="45">
        <f>IF(M$23&gt;=DATE(YEAR(in_FxShopify_Start),MONTH(in_FxShopify_Start),1),in_FxShopify,0)</f>
        <v/>
      </c>
      <c r="N99" s="45">
        <f>IF(N$23&gt;=DATE(YEAR(in_FxShopify_Start),MONTH(in_FxShopify_Start),1),in_FxShopify,0)</f>
        <v/>
      </c>
      <c r="O99" s="45">
        <f>IF(O$23&gt;=DATE(YEAR(in_FxShopify_Start),MONTH(in_FxShopify_Start),1),in_FxShopify,0)</f>
        <v/>
      </c>
      <c r="P99" s="45">
        <f>IF(P$23&gt;=DATE(YEAR(in_FxShopify_Start),MONTH(in_FxShopify_Start),1),in_FxShopify,0)</f>
        <v/>
      </c>
      <c r="Q99" s="45">
        <f>IF(Q$23&gt;=DATE(YEAR(in_FxShopify_Start),MONTH(in_FxShopify_Start),1),in_FxShopify,0)</f>
        <v/>
      </c>
      <c r="R99" s="46">
        <f>SUM(C99:Q99)</f>
        <v/>
      </c>
    </row>
    <row r="100">
      <c r="A100" s="10" t="inlineStr">
        <is>
          <t>Klaviyo email</t>
        </is>
      </c>
      <c r="C100" s="45">
        <f>IF(C$23&gt;=DATE(YEAR(in_FxKlaviyo_Start),MONTH(in_FxKlaviyo_Start),1),in_FxKlaviyo,0)</f>
        <v/>
      </c>
      <c r="D100" s="45">
        <f>IF(D$23&gt;=DATE(YEAR(in_FxKlaviyo_Start),MONTH(in_FxKlaviyo_Start),1),in_FxKlaviyo,0)</f>
        <v/>
      </c>
      <c r="E100" s="45">
        <f>IF(E$23&gt;=DATE(YEAR(in_FxKlaviyo_Start),MONTH(in_FxKlaviyo_Start),1),in_FxKlaviyo,0)</f>
        <v/>
      </c>
      <c r="F100" s="45">
        <f>IF(F$23&gt;=DATE(YEAR(in_FxKlaviyo_Start),MONTH(in_FxKlaviyo_Start),1),in_FxKlaviyo,0)</f>
        <v/>
      </c>
      <c r="G100" s="45">
        <f>IF(G$23&gt;=DATE(YEAR(in_FxKlaviyo_Start),MONTH(in_FxKlaviyo_Start),1),in_FxKlaviyo,0)</f>
        <v/>
      </c>
      <c r="H100" s="45">
        <f>IF(H$23&gt;=DATE(YEAR(in_FxKlaviyo_Start),MONTH(in_FxKlaviyo_Start),1),in_FxKlaviyo,0)</f>
        <v/>
      </c>
      <c r="I100" s="45">
        <f>IF(I$23&gt;=DATE(YEAR(in_FxKlaviyo_Start),MONTH(in_FxKlaviyo_Start),1),in_FxKlaviyo,0)</f>
        <v/>
      </c>
      <c r="J100" s="45">
        <f>IF(J$23&gt;=DATE(YEAR(in_FxKlaviyo_Start),MONTH(in_FxKlaviyo_Start),1),in_FxKlaviyo,0)</f>
        <v/>
      </c>
      <c r="K100" s="45">
        <f>IF(K$23&gt;=DATE(YEAR(in_FxKlaviyo_Start),MONTH(in_FxKlaviyo_Start),1),in_FxKlaviyo,0)</f>
        <v/>
      </c>
      <c r="L100" s="45">
        <f>IF(L$23&gt;=DATE(YEAR(in_FxKlaviyo_Start),MONTH(in_FxKlaviyo_Start),1),in_FxKlaviyo,0)</f>
        <v/>
      </c>
      <c r="M100" s="45">
        <f>IF(M$23&gt;=DATE(YEAR(in_FxKlaviyo_Start),MONTH(in_FxKlaviyo_Start),1),in_FxKlaviyo,0)</f>
        <v/>
      </c>
      <c r="N100" s="45">
        <f>IF(N$23&gt;=DATE(YEAR(in_FxKlaviyo_Start),MONTH(in_FxKlaviyo_Start),1),in_FxKlaviyo,0)</f>
        <v/>
      </c>
      <c r="O100" s="45">
        <f>IF(O$23&gt;=DATE(YEAR(in_FxKlaviyo_Start),MONTH(in_FxKlaviyo_Start),1),in_FxKlaviyo,0)</f>
        <v/>
      </c>
      <c r="P100" s="45">
        <f>IF(P$23&gt;=DATE(YEAR(in_FxKlaviyo_Start),MONTH(in_FxKlaviyo_Start),1),in_FxKlaviyo,0)</f>
        <v/>
      </c>
      <c r="Q100" s="45">
        <f>IF(Q$23&gt;=DATE(YEAR(in_FxKlaviyo_Start),MONTH(in_FxKlaviyo_Start),1),in_FxKlaviyo,0)</f>
        <v/>
      </c>
      <c r="R100" s="46">
        <f>SUM(C100:Q100)</f>
        <v/>
      </c>
    </row>
    <row r="101">
      <c r="A101" s="10" t="inlineStr">
        <is>
          <t>Product liability insurance</t>
        </is>
      </c>
      <c r="C101" s="45">
        <f>IF(C$23&gt;=DATE(YEAR(in_FxInsurance_Start),MONTH(in_FxInsurance_Start),1),in_FxInsurance,0)</f>
        <v/>
      </c>
      <c r="D101" s="45">
        <f>IF(D$23&gt;=DATE(YEAR(in_FxInsurance_Start),MONTH(in_FxInsurance_Start),1),in_FxInsurance,0)</f>
        <v/>
      </c>
      <c r="E101" s="45">
        <f>IF(E$23&gt;=DATE(YEAR(in_FxInsurance_Start),MONTH(in_FxInsurance_Start),1),in_FxInsurance,0)</f>
        <v/>
      </c>
      <c r="F101" s="45">
        <f>IF(F$23&gt;=DATE(YEAR(in_FxInsurance_Start),MONTH(in_FxInsurance_Start),1),in_FxInsurance,0)</f>
        <v/>
      </c>
      <c r="G101" s="45">
        <f>IF(G$23&gt;=DATE(YEAR(in_FxInsurance_Start),MONTH(in_FxInsurance_Start),1),in_FxInsurance,0)</f>
        <v/>
      </c>
      <c r="H101" s="45">
        <f>IF(H$23&gt;=DATE(YEAR(in_FxInsurance_Start),MONTH(in_FxInsurance_Start),1),in_FxInsurance,0)</f>
        <v/>
      </c>
      <c r="I101" s="45">
        <f>IF(I$23&gt;=DATE(YEAR(in_FxInsurance_Start),MONTH(in_FxInsurance_Start),1),in_FxInsurance,0)</f>
        <v/>
      </c>
      <c r="J101" s="45">
        <f>IF(J$23&gt;=DATE(YEAR(in_FxInsurance_Start),MONTH(in_FxInsurance_Start),1),in_FxInsurance,0)</f>
        <v/>
      </c>
      <c r="K101" s="45">
        <f>IF(K$23&gt;=DATE(YEAR(in_FxInsurance_Start),MONTH(in_FxInsurance_Start),1),in_FxInsurance,0)</f>
        <v/>
      </c>
      <c r="L101" s="45">
        <f>IF(L$23&gt;=DATE(YEAR(in_FxInsurance_Start),MONTH(in_FxInsurance_Start),1),in_FxInsurance,0)</f>
        <v/>
      </c>
      <c r="M101" s="45">
        <f>IF(M$23&gt;=DATE(YEAR(in_FxInsurance_Start),MONTH(in_FxInsurance_Start),1),in_FxInsurance,0)</f>
        <v/>
      </c>
      <c r="N101" s="45">
        <f>IF(N$23&gt;=DATE(YEAR(in_FxInsurance_Start),MONTH(in_FxInsurance_Start),1),in_FxInsurance,0)</f>
        <v/>
      </c>
      <c r="O101" s="45">
        <f>IF(O$23&gt;=DATE(YEAR(in_FxInsurance_Start),MONTH(in_FxInsurance_Start),1),in_FxInsurance,0)</f>
        <v/>
      </c>
      <c r="P101" s="45">
        <f>IF(P$23&gt;=DATE(YEAR(in_FxInsurance_Start),MONTH(in_FxInsurance_Start),1),in_FxInsurance,0)</f>
        <v/>
      </c>
      <c r="Q101" s="45">
        <f>IF(Q$23&gt;=DATE(YEAR(in_FxInsurance_Start),MONTH(in_FxInsurance_Start),1),in_FxInsurance,0)</f>
        <v/>
      </c>
      <c r="R101" s="46">
        <f>SUM(C101:Q101)</f>
        <v/>
      </c>
    </row>
    <row r="102">
      <c r="A102" s="10" t="inlineStr">
        <is>
          <t>Other software (SMS credits, apps)</t>
        </is>
      </c>
      <c r="C102" s="45">
        <f>IF(C$23&gt;=DATE(YEAR(in_FxSoftware_Start),MONTH(in_FxSoftware_Start),1),in_FxSoftware,0)</f>
        <v/>
      </c>
      <c r="D102" s="45">
        <f>IF(D$23&gt;=DATE(YEAR(in_FxSoftware_Start),MONTH(in_FxSoftware_Start),1),in_FxSoftware,0)</f>
        <v/>
      </c>
      <c r="E102" s="45">
        <f>IF(E$23&gt;=DATE(YEAR(in_FxSoftware_Start),MONTH(in_FxSoftware_Start),1),in_FxSoftware,0)</f>
        <v/>
      </c>
      <c r="F102" s="45">
        <f>IF(F$23&gt;=DATE(YEAR(in_FxSoftware_Start),MONTH(in_FxSoftware_Start),1),in_FxSoftware,0)</f>
        <v/>
      </c>
      <c r="G102" s="45">
        <f>IF(G$23&gt;=DATE(YEAR(in_FxSoftware_Start),MONTH(in_FxSoftware_Start),1),in_FxSoftware,0)</f>
        <v/>
      </c>
      <c r="H102" s="45">
        <f>IF(H$23&gt;=DATE(YEAR(in_FxSoftware_Start),MONTH(in_FxSoftware_Start),1),in_FxSoftware,0)</f>
        <v/>
      </c>
      <c r="I102" s="45">
        <f>IF(I$23&gt;=DATE(YEAR(in_FxSoftware_Start),MONTH(in_FxSoftware_Start),1),in_FxSoftware,0)</f>
        <v/>
      </c>
      <c r="J102" s="45">
        <f>IF(J$23&gt;=DATE(YEAR(in_FxSoftware_Start),MONTH(in_FxSoftware_Start),1),in_FxSoftware,0)</f>
        <v/>
      </c>
      <c r="K102" s="45">
        <f>IF(K$23&gt;=DATE(YEAR(in_FxSoftware_Start),MONTH(in_FxSoftware_Start),1),in_FxSoftware,0)</f>
        <v/>
      </c>
      <c r="L102" s="45">
        <f>IF(L$23&gt;=DATE(YEAR(in_FxSoftware_Start),MONTH(in_FxSoftware_Start),1),in_FxSoftware,0)</f>
        <v/>
      </c>
      <c r="M102" s="45">
        <f>IF(M$23&gt;=DATE(YEAR(in_FxSoftware_Start),MONTH(in_FxSoftware_Start),1),in_FxSoftware,0)</f>
        <v/>
      </c>
      <c r="N102" s="45">
        <f>IF(N$23&gt;=DATE(YEAR(in_FxSoftware_Start),MONTH(in_FxSoftware_Start),1),in_FxSoftware,0)</f>
        <v/>
      </c>
      <c r="O102" s="45">
        <f>IF(O$23&gt;=DATE(YEAR(in_FxSoftware_Start),MONTH(in_FxSoftware_Start),1),in_FxSoftware,0)</f>
        <v/>
      </c>
      <c r="P102" s="45">
        <f>IF(P$23&gt;=DATE(YEAR(in_FxSoftware_Start),MONTH(in_FxSoftware_Start),1),in_FxSoftware,0)</f>
        <v/>
      </c>
      <c r="Q102" s="45">
        <f>IF(Q$23&gt;=DATE(YEAR(in_FxSoftware_Start),MONTH(in_FxSoftware_Start),1),in_FxSoftware,0)</f>
        <v/>
      </c>
      <c r="R102" s="46">
        <f>SUM(C102:Q102)</f>
        <v/>
      </c>
    </row>
    <row r="103">
      <c r="A103" s="10" t="inlineStr">
        <is>
          <t>Bookkeeping</t>
        </is>
      </c>
      <c r="C103" s="45">
        <f>IF(C$23&gt;=DATE(YEAR(in_FxBooks_Start),MONTH(in_FxBooks_Start),1),in_FxBooks,0)</f>
        <v/>
      </c>
      <c r="D103" s="45">
        <f>IF(D$23&gt;=DATE(YEAR(in_FxBooks_Start),MONTH(in_FxBooks_Start),1),in_FxBooks,0)</f>
        <v/>
      </c>
      <c r="E103" s="45">
        <f>IF(E$23&gt;=DATE(YEAR(in_FxBooks_Start),MONTH(in_FxBooks_Start),1),in_FxBooks,0)</f>
        <v/>
      </c>
      <c r="F103" s="45">
        <f>IF(F$23&gt;=DATE(YEAR(in_FxBooks_Start),MONTH(in_FxBooks_Start),1),in_FxBooks,0)</f>
        <v/>
      </c>
      <c r="G103" s="45">
        <f>IF(G$23&gt;=DATE(YEAR(in_FxBooks_Start),MONTH(in_FxBooks_Start),1),in_FxBooks,0)</f>
        <v/>
      </c>
      <c r="H103" s="45">
        <f>IF(H$23&gt;=DATE(YEAR(in_FxBooks_Start),MONTH(in_FxBooks_Start),1),in_FxBooks,0)</f>
        <v/>
      </c>
      <c r="I103" s="45">
        <f>IF(I$23&gt;=DATE(YEAR(in_FxBooks_Start),MONTH(in_FxBooks_Start),1),in_FxBooks,0)</f>
        <v/>
      </c>
      <c r="J103" s="45">
        <f>IF(J$23&gt;=DATE(YEAR(in_FxBooks_Start),MONTH(in_FxBooks_Start),1),in_FxBooks,0)</f>
        <v/>
      </c>
      <c r="K103" s="45">
        <f>IF(K$23&gt;=DATE(YEAR(in_FxBooks_Start),MONTH(in_FxBooks_Start),1),in_FxBooks,0)</f>
        <v/>
      </c>
      <c r="L103" s="45">
        <f>IF(L$23&gt;=DATE(YEAR(in_FxBooks_Start),MONTH(in_FxBooks_Start),1),in_FxBooks,0)</f>
        <v/>
      </c>
      <c r="M103" s="45">
        <f>IF(M$23&gt;=DATE(YEAR(in_FxBooks_Start),MONTH(in_FxBooks_Start),1),in_FxBooks,0)</f>
        <v/>
      </c>
      <c r="N103" s="45">
        <f>IF(N$23&gt;=DATE(YEAR(in_FxBooks_Start),MONTH(in_FxBooks_Start),1),in_FxBooks,0)</f>
        <v/>
      </c>
      <c r="O103" s="45">
        <f>IF(O$23&gt;=DATE(YEAR(in_FxBooks_Start),MONTH(in_FxBooks_Start),1),in_FxBooks,0)</f>
        <v/>
      </c>
      <c r="P103" s="45">
        <f>IF(P$23&gt;=DATE(YEAR(in_FxBooks_Start),MONTH(in_FxBooks_Start),1),in_FxBooks,0)</f>
        <v/>
      </c>
      <c r="Q103" s="45">
        <f>IF(Q$23&gt;=DATE(YEAR(in_FxBooks_Start),MONTH(in_FxBooks_Start),1),in_FxBooks,0)</f>
        <v/>
      </c>
      <c r="R103" s="46">
        <f>SUM(C103:Q103)</f>
        <v/>
      </c>
    </row>
    <row r="104">
      <c r="A104" s="10" t="inlineStr">
        <is>
          <t>Amazon Professional plan</t>
        </is>
      </c>
      <c r="C104" s="45">
        <f>IF(C$23&gt;=DATE(YEAR(in_FxAmazon_Start),MONTH(in_FxAmazon_Start),1),in_FxAmazon,0)</f>
        <v/>
      </c>
      <c r="D104" s="45">
        <f>IF(D$23&gt;=DATE(YEAR(in_FxAmazon_Start),MONTH(in_FxAmazon_Start),1),in_FxAmazon,0)</f>
        <v/>
      </c>
      <c r="E104" s="45">
        <f>IF(E$23&gt;=DATE(YEAR(in_FxAmazon_Start),MONTH(in_FxAmazon_Start),1),in_FxAmazon,0)</f>
        <v/>
      </c>
      <c r="F104" s="45">
        <f>IF(F$23&gt;=DATE(YEAR(in_FxAmazon_Start),MONTH(in_FxAmazon_Start),1),in_FxAmazon,0)</f>
        <v/>
      </c>
      <c r="G104" s="45">
        <f>IF(G$23&gt;=DATE(YEAR(in_FxAmazon_Start),MONTH(in_FxAmazon_Start),1),in_FxAmazon,0)</f>
        <v/>
      </c>
      <c r="H104" s="45">
        <f>IF(H$23&gt;=DATE(YEAR(in_FxAmazon_Start),MONTH(in_FxAmazon_Start),1),in_FxAmazon,0)</f>
        <v/>
      </c>
      <c r="I104" s="45">
        <f>IF(I$23&gt;=DATE(YEAR(in_FxAmazon_Start),MONTH(in_FxAmazon_Start),1),in_FxAmazon,0)</f>
        <v/>
      </c>
      <c r="J104" s="45">
        <f>IF(J$23&gt;=DATE(YEAR(in_FxAmazon_Start),MONTH(in_FxAmazon_Start),1),in_FxAmazon,0)</f>
        <v/>
      </c>
      <c r="K104" s="45">
        <f>IF(K$23&gt;=DATE(YEAR(in_FxAmazon_Start),MONTH(in_FxAmazon_Start),1),in_FxAmazon,0)</f>
        <v/>
      </c>
      <c r="L104" s="45">
        <f>IF(L$23&gt;=DATE(YEAR(in_FxAmazon_Start),MONTH(in_FxAmazon_Start),1),in_FxAmazon,0)</f>
        <v/>
      </c>
      <c r="M104" s="45">
        <f>IF(M$23&gt;=DATE(YEAR(in_FxAmazon_Start),MONTH(in_FxAmazon_Start),1),in_FxAmazon,0)</f>
        <v/>
      </c>
      <c r="N104" s="45">
        <f>IF(N$23&gt;=DATE(YEAR(in_FxAmazon_Start),MONTH(in_FxAmazon_Start),1),in_FxAmazon,0)</f>
        <v/>
      </c>
      <c r="O104" s="45">
        <f>IF(O$23&gt;=DATE(YEAR(in_FxAmazon_Start),MONTH(in_FxAmazon_Start),1),in_FxAmazon,0)</f>
        <v/>
      </c>
      <c r="P104" s="45">
        <f>IF(P$23&gt;=DATE(YEAR(in_FxAmazon_Start),MONTH(in_FxAmazon_Start),1),in_FxAmazon,0)</f>
        <v/>
      </c>
      <c r="Q104" s="45">
        <f>IF(Q$23&gt;=DATE(YEAR(in_FxAmazon_Start),MONTH(in_FxAmazon_Start),1),in_FxAmazon,0)</f>
        <v/>
      </c>
      <c r="R104" s="46">
        <f>SUM(C104:Q104)</f>
        <v/>
      </c>
    </row>
    <row r="105">
      <c r="A105" s="26" t="inlineStr">
        <is>
          <t>Total fixed costs</t>
        </is>
      </c>
      <c r="C105" s="47">
        <f>SUM(C99:C104)</f>
        <v/>
      </c>
      <c r="D105" s="47">
        <f>SUM(D99:D104)</f>
        <v/>
      </c>
      <c r="E105" s="47">
        <f>SUM(E99:E104)</f>
        <v/>
      </c>
      <c r="F105" s="47">
        <f>SUM(F99:F104)</f>
        <v/>
      </c>
      <c r="G105" s="47">
        <f>SUM(G99:G104)</f>
        <v/>
      </c>
      <c r="H105" s="47">
        <f>SUM(H99:H104)</f>
        <v/>
      </c>
      <c r="I105" s="47">
        <f>SUM(I99:I104)</f>
        <v/>
      </c>
      <c r="J105" s="47">
        <f>SUM(J99:J104)</f>
        <v/>
      </c>
      <c r="K105" s="47">
        <f>SUM(K99:K104)</f>
        <v/>
      </c>
      <c r="L105" s="47">
        <f>SUM(L99:L104)</f>
        <v/>
      </c>
      <c r="M105" s="47">
        <f>SUM(M99:M104)</f>
        <v/>
      </c>
      <c r="N105" s="47">
        <f>SUM(N99:N104)</f>
        <v/>
      </c>
      <c r="O105" s="47">
        <f>SUM(O99:O104)</f>
        <v/>
      </c>
      <c r="P105" s="47">
        <f>SUM(P99:P104)</f>
        <v/>
      </c>
      <c r="Q105" s="47">
        <f>SUM(Q99:Q104)</f>
        <v/>
      </c>
      <c r="R105" s="46">
        <f>SUM(C105:Q105)</f>
        <v/>
      </c>
    </row>
    <row r="107">
      <c r="A107" s="7" t="inlineStr">
        <is>
          <t>One-time launch costs (cash out)</t>
        </is>
      </c>
      <c r="B107" s="8" t="n"/>
      <c r="C107" s="8" t="n"/>
      <c r="D107" s="8" t="n"/>
      <c r="E107" s="8" t="n"/>
      <c r="F107" s="8" t="n"/>
      <c r="G107" s="8" t="n"/>
      <c r="H107" s="8" t="n"/>
      <c r="I107" s="8" t="n"/>
      <c r="J107" s="8" t="n"/>
      <c r="K107" s="8" t="n"/>
      <c r="L107" s="8" t="n"/>
      <c r="M107" s="8" t="n"/>
      <c r="N107" s="8" t="n"/>
      <c r="O107" s="8" t="n"/>
      <c r="P107" s="8" t="n"/>
      <c r="Q107" s="8" t="n"/>
      <c r="R107" s="8" t="n"/>
    </row>
    <row r="108">
      <c r="A108" s="10" t="inlineStr">
        <is>
          <t>Company, trademark, lawyer review, insurance setup</t>
        </is>
      </c>
      <c r="C108" s="45">
        <f>IF(EOMONTH(in_OtCompany_D,0)=EOMONTH(C$23,0),IF($B$3="Lean",in_OtCompany_L,in_OtCompany_S),0)</f>
        <v/>
      </c>
      <c r="D108" s="45">
        <f>IF(EOMONTH(in_OtCompany_D,0)=EOMONTH(D$23,0),IF($B$3="Lean",in_OtCompany_L,in_OtCompany_S),0)</f>
        <v/>
      </c>
      <c r="E108" s="45">
        <f>IF(EOMONTH(in_OtCompany_D,0)=EOMONTH(E$23,0),IF($B$3="Lean",in_OtCompany_L,in_OtCompany_S),0)</f>
        <v/>
      </c>
      <c r="F108" s="45">
        <f>IF(EOMONTH(in_OtCompany_D,0)=EOMONTH(F$23,0),IF($B$3="Lean",in_OtCompany_L,in_OtCompany_S),0)</f>
        <v/>
      </c>
      <c r="G108" s="45">
        <f>IF(EOMONTH(in_OtCompany_D,0)=EOMONTH(G$23,0),IF($B$3="Lean",in_OtCompany_L,in_OtCompany_S),0)</f>
        <v/>
      </c>
      <c r="H108" s="45">
        <f>IF(EOMONTH(in_OtCompany_D,0)=EOMONTH(H$23,0),IF($B$3="Lean",in_OtCompany_L,in_OtCompany_S),0)</f>
        <v/>
      </c>
      <c r="I108" s="45">
        <f>IF(EOMONTH(in_OtCompany_D,0)=EOMONTH(I$23,0),IF($B$3="Lean",in_OtCompany_L,in_OtCompany_S),0)</f>
        <v/>
      </c>
      <c r="J108" s="45">
        <f>IF(EOMONTH(in_OtCompany_D,0)=EOMONTH(J$23,0),IF($B$3="Lean",in_OtCompany_L,in_OtCompany_S),0)</f>
        <v/>
      </c>
      <c r="K108" s="45">
        <f>IF(EOMONTH(in_OtCompany_D,0)=EOMONTH(K$23,0),IF($B$3="Lean",in_OtCompany_L,in_OtCompany_S),0)</f>
        <v/>
      </c>
      <c r="L108" s="45">
        <f>IF(EOMONTH(in_OtCompany_D,0)=EOMONTH(L$23,0),IF($B$3="Lean",in_OtCompany_L,in_OtCompany_S),0)</f>
        <v/>
      </c>
      <c r="M108" s="45">
        <f>IF(EOMONTH(in_OtCompany_D,0)=EOMONTH(M$23,0),IF($B$3="Lean",in_OtCompany_L,in_OtCompany_S),0)</f>
        <v/>
      </c>
      <c r="N108" s="45">
        <f>IF(EOMONTH(in_OtCompany_D,0)=EOMONTH(N$23,0),IF($B$3="Lean",in_OtCompany_L,in_OtCompany_S),0)</f>
        <v/>
      </c>
      <c r="O108" s="45">
        <f>IF(EOMONTH(in_OtCompany_D,0)=EOMONTH(O$23,0),IF($B$3="Lean",in_OtCompany_L,in_OtCompany_S),0)</f>
        <v/>
      </c>
      <c r="P108" s="45">
        <f>IF(EOMONTH(in_OtCompany_D,0)=EOMONTH(P$23,0),IF($B$3="Lean",in_OtCompany_L,in_OtCompany_S),0)</f>
        <v/>
      </c>
      <c r="Q108" s="45">
        <f>IF(EOMONTH(in_OtCompany_D,0)=EOMONTH(Q$23,0),IF($B$3="Lean",in_OtCompany_L,in_OtCompany_S),0)</f>
        <v/>
      </c>
      <c r="R108" s="46">
        <f>SUM(C108:Q108)</f>
        <v/>
      </c>
    </row>
    <row r="109">
      <c r="A109" s="10" t="inlineStr">
        <is>
          <t>Samples and flavour development (Strawberry)</t>
        </is>
      </c>
      <c r="C109" s="45">
        <f>IF(EOMONTH(in_OtSamples_D,0)=EOMONTH(C$23,0),IF($B$3="Lean",in_OtSamples_L,in_OtSamples_S),0)</f>
        <v/>
      </c>
      <c r="D109" s="45">
        <f>IF(EOMONTH(in_OtSamples_D,0)=EOMONTH(D$23,0),IF($B$3="Lean",in_OtSamples_L,in_OtSamples_S),0)</f>
        <v/>
      </c>
      <c r="E109" s="45">
        <f>IF(EOMONTH(in_OtSamples_D,0)=EOMONTH(E$23,0),IF($B$3="Lean",in_OtSamples_L,in_OtSamples_S),0)</f>
        <v/>
      </c>
      <c r="F109" s="45">
        <f>IF(EOMONTH(in_OtSamples_D,0)=EOMONTH(F$23,0),IF($B$3="Lean",in_OtSamples_L,in_OtSamples_S),0)</f>
        <v/>
      </c>
      <c r="G109" s="45">
        <f>IF(EOMONTH(in_OtSamples_D,0)=EOMONTH(G$23,0),IF($B$3="Lean",in_OtSamples_L,in_OtSamples_S),0)</f>
        <v/>
      </c>
      <c r="H109" s="45">
        <f>IF(EOMONTH(in_OtSamples_D,0)=EOMONTH(H$23,0),IF($B$3="Lean",in_OtSamples_L,in_OtSamples_S),0)</f>
        <v/>
      </c>
      <c r="I109" s="45">
        <f>IF(EOMONTH(in_OtSamples_D,0)=EOMONTH(I$23,0),IF($B$3="Lean",in_OtSamples_L,in_OtSamples_S),0)</f>
        <v/>
      </c>
      <c r="J109" s="45">
        <f>IF(EOMONTH(in_OtSamples_D,0)=EOMONTH(J$23,0),IF($B$3="Lean",in_OtSamples_L,in_OtSamples_S),0)</f>
        <v/>
      </c>
      <c r="K109" s="45">
        <f>IF(EOMONTH(in_OtSamples_D,0)=EOMONTH(K$23,0),IF($B$3="Lean",in_OtSamples_L,in_OtSamples_S),0)</f>
        <v/>
      </c>
      <c r="L109" s="45">
        <f>IF(EOMONTH(in_OtSamples_D,0)=EOMONTH(L$23,0),IF($B$3="Lean",in_OtSamples_L,in_OtSamples_S),0)</f>
        <v/>
      </c>
      <c r="M109" s="45">
        <f>IF(EOMONTH(in_OtSamples_D,0)=EOMONTH(M$23,0),IF($B$3="Lean",in_OtSamples_L,in_OtSamples_S),0)</f>
        <v/>
      </c>
      <c r="N109" s="45">
        <f>IF(EOMONTH(in_OtSamples_D,0)=EOMONTH(N$23,0),IF($B$3="Lean",in_OtSamples_L,in_OtSamples_S),0)</f>
        <v/>
      </c>
      <c r="O109" s="45">
        <f>IF(EOMONTH(in_OtSamples_D,0)=EOMONTH(O$23,0),IF($B$3="Lean",in_OtSamples_L,in_OtSamples_S),0)</f>
        <v/>
      </c>
      <c r="P109" s="45">
        <f>IF(EOMONTH(in_OtSamples_D,0)=EOMONTH(P$23,0),IF($B$3="Lean",in_OtSamples_L,in_OtSamples_S),0)</f>
        <v/>
      </c>
      <c r="Q109" s="45">
        <f>IF(EOMONTH(in_OtSamples_D,0)=EOMONTH(Q$23,0),IF($B$3="Lean",in_OtSamples_L,in_OtSamples_S),0)</f>
        <v/>
      </c>
      <c r="R109" s="46">
        <f>SUM(C109:Q109)</f>
        <v/>
      </c>
    </row>
    <row r="110">
      <c r="A110" s="10" t="inlineStr">
        <is>
          <t>Label and regulatory review</t>
        </is>
      </c>
      <c r="C110" s="45">
        <f>IF(EOMONTH(in_OtLabel_D,0)=EOMONTH(C$23,0),IF($B$3="Lean",in_OtLabel_L,in_OtLabel_S),0)</f>
        <v/>
      </c>
      <c r="D110" s="45">
        <f>IF(EOMONTH(in_OtLabel_D,0)=EOMONTH(D$23,0),IF($B$3="Lean",in_OtLabel_L,in_OtLabel_S),0)</f>
        <v/>
      </c>
      <c r="E110" s="45">
        <f>IF(EOMONTH(in_OtLabel_D,0)=EOMONTH(E$23,0),IF($B$3="Lean",in_OtLabel_L,in_OtLabel_S),0)</f>
        <v/>
      </c>
      <c r="F110" s="45">
        <f>IF(EOMONTH(in_OtLabel_D,0)=EOMONTH(F$23,0),IF($B$3="Lean",in_OtLabel_L,in_OtLabel_S),0)</f>
        <v/>
      </c>
      <c r="G110" s="45">
        <f>IF(EOMONTH(in_OtLabel_D,0)=EOMONTH(G$23,0),IF($B$3="Lean",in_OtLabel_L,in_OtLabel_S),0)</f>
        <v/>
      </c>
      <c r="H110" s="45">
        <f>IF(EOMONTH(in_OtLabel_D,0)=EOMONTH(H$23,0),IF($B$3="Lean",in_OtLabel_L,in_OtLabel_S),0)</f>
        <v/>
      </c>
      <c r="I110" s="45">
        <f>IF(EOMONTH(in_OtLabel_D,0)=EOMONTH(I$23,0),IF($B$3="Lean",in_OtLabel_L,in_OtLabel_S),0)</f>
        <v/>
      </c>
      <c r="J110" s="45">
        <f>IF(EOMONTH(in_OtLabel_D,0)=EOMONTH(J$23,0),IF($B$3="Lean",in_OtLabel_L,in_OtLabel_S),0)</f>
        <v/>
      </c>
      <c r="K110" s="45">
        <f>IF(EOMONTH(in_OtLabel_D,0)=EOMONTH(K$23,0),IF($B$3="Lean",in_OtLabel_L,in_OtLabel_S),0)</f>
        <v/>
      </c>
      <c r="L110" s="45">
        <f>IF(EOMONTH(in_OtLabel_D,0)=EOMONTH(L$23,0),IF($B$3="Lean",in_OtLabel_L,in_OtLabel_S),0)</f>
        <v/>
      </c>
      <c r="M110" s="45">
        <f>IF(EOMONTH(in_OtLabel_D,0)=EOMONTH(M$23,0),IF($B$3="Lean",in_OtLabel_L,in_OtLabel_S),0)</f>
        <v/>
      </c>
      <c r="N110" s="45">
        <f>IF(EOMONTH(in_OtLabel_D,0)=EOMONTH(N$23,0),IF($B$3="Lean",in_OtLabel_L,in_OtLabel_S),0)</f>
        <v/>
      </c>
      <c r="O110" s="45">
        <f>IF(EOMONTH(in_OtLabel_D,0)=EOMONTH(O$23,0),IF($B$3="Lean",in_OtLabel_L,in_OtLabel_S),0)</f>
        <v/>
      </c>
      <c r="P110" s="45">
        <f>IF(EOMONTH(in_OtLabel_D,0)=EOMONTH(P$23,0),IF($B$3="Lean",in_OtLabel_L,in_OtLabel_S),0)</f>
        <v/>
      </c>
      <c r="Q110" s="45">
        <f>IF(EOMONTH(in_OtLabel_D,0)=EOMONTH(Q$23,0),IF($B$3="Lean",in_OtLabel_L,in_OtLabel_S),0)</f>
        <v/>
      </c>
      <c r="R110" s="46">
        <f>SUM(C110:Q110)</f>
        <v/>
      </c>
    </row>
    <row r="111">
      <c r="A111" s="10" t="inlineStr">
        <is>
          <t>Launch kit: shakers, display, sampling supplies, apps</t>
        </is>
      </c>
      <c r="C111" s="45">
        <f>IF(EOMONTH(in_OtKit_D,0)=EOMONTH(C$23,0),IF($B$3="Lean",in_OtKit_L,in_OtKit_S),0)</f>
        <v/>
      </c>
      <c r="D111" s="45">
        <f>IF(EOMONTH(in_OtKit_D,0)=EOMONTH(D$23,0),IF($B$3="Lean",in_OtKit_L,in_OtKit_S),0)</f>
        <v/>
      </c>
      <c r="E111" s="45">
        <f>IF(EOMONTH(in_OtKit_D,0)=EOMONTH(E$23,0),IF($B$3="Lean",in_OtKit_L,in_OtKit_S),0)</f>
        <v/>
      </c>
      <c r="F111" s="45">
        <f>IF(EOMONTH(in_OtKit_D,0)=EOMONTH(F$23,0),IF($B$3="Lean",in_OtKit_L,in_OtKit_S),0)</f>
        <v/>
      </c>
      <c r="G111" s="45">
        <f>IF(EOMONTH(in_OtKit_D,0)=EOMONTH(G$23,0),IF($B$3="Lean",in_OtKit_L,in_OtKit_S),0)</f>
        <v/>
      </c>
      <c r="H111" s="45">
        <f>IF(EOMONTH(in_OtKit_D,0)=EOMONTH(H$23,0),IF($B$3="Lean",in_OtKit_L,in_OtKit_S),0)</f>
        <v/>
      </c>
      <c r="I111" s="45">
        <f>IF(EOMONTH(in_OtKit_D,0)=EOMONTH(I$23,0),IF($B$3="Lean",in_OtKit_L,in_OtKit_S),0)</f>
        <v/>
      </c>
      <c r="J111" s="45">
        <f>IF(EOMONTH(in_OtKit_D,0)=EOMONTH(J$23,0),IF($B$3="Lean",in_OtKit_L,in_OtKit_S),0)</f>
        <v/>
      </c>
      <c r="K111" s="45">
        <f>IF(EOMONTH(in_OtKit_D,0)=EOMONTH(K$23,0),IF($B$3="Lean",in_OtKit_L,in_OtKit_S),0)</f>
        <v/>
      </c>
      <c r="L111" s="45">
        <f>IF(EOMONTH(in_OtKit_D,0)=EOMONTH(L$23,0),IF($B$3="Lean",in_OtKit_L,in_OtKit_S),0)</f>
        <v/>
      </c>
      <c r="M111" s="45">
        <f>IF(EOMONTH(in_OtKit_D,0)=EOMONTH(M$23,0),IF($B$3="Lean",in_OtKit_L,in_OtKit_S),0)</f>
        <v/>
      </c>
      <c r="N111" s="45">
        <f>IF(EOMONTH(in_OtKit_D,0)=EOMONTH(N$23,0),IF($B$3="Lean",in_OtKit_L,in_OtKit_S),0)</f>
        <v/>
      </c>
      <c r="O111" s="45">
        <f>IF(EOMONTH(in_OtKit_D,0)=EOMONTH(O$23,0),IF($B$3="Lean",in_OtKit_L,in_OtKit_S),0)</f>
        <v/>
      </c>
      <c r="P111" s="45">
        <f>IF(EOMONTH(in_OtKit_D,0)=EOMONTH(P$23,0),IF($B$3="Lean",in_OtKit_L,in_OtKit_S),0)</f>
        <v/>
      </c>
      <c r="Q111" s="45">
        <f>IF(EOMONTH(in_OtKit_D,0)=EOMONTH(Q$23,0),IF($B$3="Lean",in_OtKit_L,in_OtKit_S),0)</f>
        <v/>
      </c>
      <c r="R111" s="46">
        <f>SUM(C111:Q111)</f>
        <v/>
      </c>
    </row>
    <row r="112">
      <c r="A112" s="10" t="inlineStr">
        <is>
          <t>Real Fruit Hydration sticks (development and first run)</t>
        </is>
      </c>
      <c r="C112" s="45">
        <f>IF(EOMONTH(in_OtHydra_D,0)=EOMONTH(C$23,0),IF($B$3="Lean",in_OtHydra_L,in_OtHydra_S),0)*in_HydraOn</f>
        <v/>
      </c>
      <c r="D112" s="45">
        <f>IF(EOMONTH(in_OtHydra_D,0)=EOMONTH(D$23,0),IF($B$3="Lean",in_OtHydra_L,in_OtHydra_S),0)*in_HydraOn</f>
        <v/>
      </c>
      <c r="E112" s="45">
        <f>IF(EOMONTH(in_OtHydra_D,0)=EOMONTH(E$23,0),IF($B$3="Lean",in_OtHydra_L,in_OtHydra_S),0)*in_HydraOn</f>
        <v/>
      </c>
      <c r="F112" s="45">
        <f>IF(EOMONTH(in_OtHydra_D,0)=EOMONTH(F$23,0),IF($B$3="Lean",in_OtHydra_L,in_OtHydra_S),0)*in_HydraOn</f>
        <v/>
      </c>
      <c r="G112" s="45">
        <f>IF(EOMONTH(in_OtHydra_D,0)=EOMONTH(G$23,0),IF($B$3="Lean",in_OtHydra_L,in_OtHydra_S),0)*in_HydraOn</f>
        <v/>
      </c>
      <c r="H112" s="45">
        <f>IF(EOMONTH(in_OtHydra_D,0)=EOMONTH(H$23,0),IF($B$3="Lean",in_OtHydra_L,in_OtHydra_S),0)*in_HydraOn</f>
        <v/>
      </c>
      <c r="I112" s="45">
        <f>IF(EOMONTH(in_OtHydra_D,0)=EOMONTH(I$23,0),IF($B$3="Lean",in_OtHydra_L,in_OtHydra_S),0)*in_HydraOn</f>
        <v/>
      </c>
      <c r="J112" s="45">
        <f>IF(EOMONTH(in_OtHydra_D,0)=EOMONTH(J$23,0),IF($B$3="Lean",in_OtHydra_L,in_OtHydra_S),0)*in_HydraOn</f>
        <v/>
      </c>
      <c r="K112" s="45">
        <f>IF(EOMONTH(in_OtHydra_D,0)=EOMONTH(K$23,0),IF($B$3="Lean",in_OtHydra_L,in_OtHydra_S),0)*in_HydraOn</f>
        <v/>
      </c>
      <c r="L112" s="45">
        <f>IF(EOMONTH(in_OtHydra_D,0)=EOMONTH(L$23,0),IF($B$3="Lean",in_OtHydra_L,in_OtHydra_S),0)*in_HydraOn</f>
        <v/>
      </c>
      <c r="M112" s="45">
        <f>IF(EOMONTH(in_OtHydra_D,0)=EOMONTH(M$23,0),IF($B$3="Lean",in_OtHydra_L,in_OtHydra_S),0)*in_HydraOn</f>
        <v/>
      </c>
      <c r="N112" s="45">
        <f>IF(EOMONTH(in_OtHydra_D,0)=EOMONTH(N$23,0),IF($B$3="Lean",in_OtHydra_L,in_OtHydra_S),0)*in_HydraOn</f>
        <v/>
      </c>
      <c r="O112" s="45">
        <f>IF(EOMONTH(in_OtHydra_D,0)=EOMONTH(O$23,0),IF($B$3="Lean",in_OtHydra_L,in_OtHydra_S),0)*in_HydraOn</f>
        <v/>
      </c>
      <c r="P112" s="45">
        <f>IF(EOMONTH(in_OtHydra_D,0)=EOMONTH(P$23,0),IF($B$3="Lean",in_OtHydra_L,in_OtHydra_S),0)*in_HydraOn</f>
        <v/>
      </c>
      <c r="Q112" s="45">
        <f>IF(EOMONTH(in_OtHydra_D,0)=EOMONTH(Q$23,0),IF($B$3="Lean",in_OtHydra_L,in_OtHydra_S),0)*in_HydraOn</f>
        <v/>
      </c>
      <c r="R112" s="46">
        <f>SUM(C112:Q112)</f>
        <v/>
      </c>
    </row>
    <row r="113">
      <c r="A113" s="10" t="inlineStr">
        <is>
          <t>Second protein flavour: samples and development</t>
        </is>
      </c>
      <c r="C113" s="45">
        <f>IF(EOMONTH(in_OtFlavor2_D,0)=EOMONTH(C$23,0),IF($B$3="Lean",in_OtFlavor2_L,in_OtFlavor2_S),0)*in_Flavor2On</f>
        <v/>
      </c>
      <c r="D113" s="45">
        <f>IF(EOMONTH(in_OtFlavor2_D,0)=EOMONTH(D$23,0),IF($B$3="Lean",in_OtFlavor2_L,in_OtFlavor2_S),0)*in_Flavor2On</f>
        <v/>
      </c>
      <c r="E113" s="45">
        <f>IF(EOMONTH(in_OtFlavor2_D,0)=EOMONTH(E$23,0),IF($B$3="Lean",in_OtFlavor2_L,in_OtFlavor2_S),0)*in_Flavor2On</f>
        <v/>
      </c>
      <c r="F113" s="45">
        <f>IF(EOMONTH(in_OtFlavor2_D,0)=EOMONTH(F$23,0),IF($B$3="Lean",in_OtFlavor2_L,in_OtFlavor2_S),0)*in_Flavor2On</f>
        <v/>
      </c>
      <c r="G113" s="45">
        <f>IF(EOMONTH(in_OtFlavor2_D,0)=EOMONTH(G$23,0),IF($B$3="Lean",in_OtFlavor2_L,in_OtFlavor2_S),0)*in_Flavor2On</f>
        <v/>
      </c>
      <c r="H113" s="45">
        <f>IF(EOMONTH(in_OtFlavor2_D,0)=EOMONTH(H$23,0),IF($B$3="Lean",in_OtFlavor2_L,in_OtFlavor2_S),0)*in_Flavor2On</f>
        <v/>
      </c>
      <c r="I113" s="45">
        <f>IF(EOMONTH(in_OtFlavor2_D,0)=EOMONTH(I$23,0),IF($B$3="Lean",in_OtFlavor2_L,in_OtFlavor2_S),0)*in_Flavor2On</f>
        <v/>
      </c>
      <c r="J113" s="45">
        <f>IF(EOMONTH(in_OtFlavor2_D,0)=EOMONTH(J$23,0),IF($B$3="Lean",in_OtFlavor2_L,in_OtFlavor2_S),0)*in_Flavor2On</f>
        <v/>
      </c>
      <c r="K113" s="45">
        <f>IF(EOMONTH(in_OtFlavor2_D,0)=EOMONTH(K$23,0),IF($B$3="Lean",in_OtFlavor2_L,in_OtFlavor2_S),0)*in_Flavor2On</f>
        <v/>
      </c>
      <c r="L113" s="45">
        <f>IF(EOMONTH(in_OtFlavor2_D,0)=EOMONTH(L$23,0),IF($B$3="Lean",in_OtFlavor2_L,in_OtFlavor2_S),0)*in_Flavor2On</f>
        <v/>
      </c>
      <c r="M113" s="45">
        <f>IF(EOMONTH(in_OtFlavor2_D,0)=EOMONTH(M$23,0),IF($B$3="Lean",in_OtFlavor2_L,in_OtFlavor2_S),0)*in_Flavor2On</f>
        <v/>
      </c>
      <c r="N113" s="45">
        <f>IF(EOMONTH(in_OtFlavor2_D,0)=EOMONTH(N$23,0),IF($B$3="Lean",in_OtFlavor2_L,in_OtFlavor2_S),0)*in_Flavor2On</f>
        <v/>
      </c>
      <c r="O113" s="45">
        <f>IF(EOMONTH(in_OtFlavor2_D,0)=EOMONTH(O$23,0),IF($B$3="Lean",in_OtFlavor2_L,in_OtFlavor2_S),0)*in_Flavor2On</f>
        <v/>
      </c>
      <c r="P113" s="45">
        <f>IF(EOMONTH(in_OtFlavor2_D,0)=EOMONTH(P$23,0),IF($B$3="Lean",in_OtFlavor2_L,in_OtFlavor2_S),0)*in_Flavor2On</f>
        <v/>
      </c>
      <c r="Q113" s="45">
        <f>IF(EOMONTH(in_OtFlavor2_D,0)=EOMONTH(Q$23,0),IF($B$3="Lean",in_OtFlavor2_L,in_OtFlavor2_S),0)*in_Flavor2On</f>
        <v/>
      </c>
      <c r="R113" s="46">
        <f>SUM(C113:Q113)</f>
        <v/>
      </c>
    </row>
    <row r="114">
      <c r="A114" s="10" t="inlineStr">
        <is>
          <t>Optional: Picked Creatine via Supliful</t>
        </is>
      </c>
      <c r="C114" s="45">
        <f>IF(EOMONTH(in_OtCreatine_D,0)=EOMONTH(C$23,0),IF($B$3="Lean",in_OtCreatine_L,in_OtCreatine_S),0)</f>
        <v/>
      </c>
      <c r="D114" s="45">
        <f>IF(EOMONTH(in_OtCreatine_D,0)=EOMONTH(D$23,0),IF($B$3="Lean",in_OtCreatine_L,in_OtCreatine_S),0)</f>
        <v/>
      </c>
      <c r="E114" s="45">
        <f>IF(EOMONTH(in_OtCreatine_D,0)=EOMONTH(E$23,0),IF($B$3="Lean",in_OtCreatine_L,in_OtCreatine_S),0)</f>
        <v/>
      </c>
      <c r="F114" s="45">
        <f>IF(EOMONTH(in_OtCreatine_D,0)=EOMONTH(F$23,0),IF($B$3="Lean",in_OtCreatine_L,in_OtCreatine_S),0)</f>
        <v/>
      </c>
      <c r="G114" s="45">
        <f>IF(EOMONTH(in_OtCreatine_D,0)=EOMONTH(G$23,0),IF($B$3="Lean",in_OtCreatine_L,in_OtCreatine_S),0)</f>
        <v/>
      </c>
      <c r="H114" s="45">
        <f>IF(EOMONTH(in_OtCreatine_D,0)=EOMONTH(H$23,0),IF($B$3="Lean",in_OtCreatine_L,in_OtCreatine_S),0)</f>
        <v/>
      </c>
      <c r="I114" s="45">
        <f>IF(EOMONTH(in_OtCreatine_D,0)=EOMONTH(I$23,0),IF($B$3="Lean",in_OtCreatine_L,in_OtCreatine_S),0)</f>
        <v/>
      </c>
      <c r="J114" s="45">
        <f>IF(EOMONTH(in_OtCreatine_D,0)=EOMONTH(J$23,0),IF($B$3="Lean",in_OtCreatine_L,in_OtCreatine_S),0)</f>
        <v/>
      </c>
      <c r="K114" s="45">
        <f>IF(EOMONTH(in_OtCreatine_D,0)=EOMONTH(K$23,0),IF($B$3="Lean",in_OtCreatine_L,in_OtCreatine_S),0)</f>
        <v/>
      </c>
      <c r="L114" s="45">
        <f>IF(EOMONTH(in_OtCreatine_D,0)=EOMONTH(L$23,0),IF($B$3="Lean",in_OtCreatine_L,in_OtCreatine_S),0)</f>
        <v/>
      </c>
      <c r="M114" s="45">
        <f>IF(EOMONTH(in_OtCreatine_D,0)=EOMONTH(M$23,0),IF($B$3="Lean",in_OtCreatine_L,in_OtCreatine_S),0)</f>
        <v/>
      </c>
      <c r="N114" s="45">
        <f>IF(EOMONTH(in_OtCreatine_D,0)=EOMONTH(N$23,0),IF($B$3="Lean",in_OtCreatine_L,in_OtCreatine_S),0)</f>
        <v/>
      </c>
      <c r="O114" s="45">
        <f>IF(EOMONTH(in_OtCreatine_D,0)=EOMONTH(O$23,0),IF($B$3="Lean",in_OtCreatine_L,in_OtCreatine_S),0)</f>
        <v/>
      </c>
      <c r="P114" s="45">
        <f>IF(EOMONTH(in_OtCreatine_D,0)=EOMONTH(P$23,0),IF($B$3="Lean",in_OtCreatine_L,in_OtCreatine_S),0)</f>
        <v/>
      </c>
      <c r="Q114" s="45">
        <f>IF(EOMONTH(in_OtCreatine_D,0)=EOMONTH(Q$23,0),IF($B$3="Lean",in_OtCreatine_L,in_OtCreatine_S),0)</f>
        <v/>
      </c>
      <c r="R114" s="46">
        <f>SUM(C114:Q114)</f>
        <v/>
      </c>
    </row>
    <row r="115">
      <c r="A115" s="26" t="inlineStr">
        <is>
          <t>Total one-time launch costs</t>
        </is>
      </c>
      <c r="C115" s="47">
        <f>SUM(C108:C114)</f>
        <v/>
      </c>
      <c r="D115" s="47">
        <f>SUM(D108:D114)</f>
        <v/>
      </c>
      <c r="E115" s="47">
        <f>SUM(E108:E114)</f>
        <v/>
      </c>
      <c r="F115" s="47">
        <f>SUM(F108:F114)</f>
        <v/>
      </c>
      <c r="G115" s="47">
        <f>SUM(G108:G114)</f>
        <v/>
      </c>
      <c r="H115" s="47">
        <f>SUM(H108:H114)</f>
        <v/>
      </c>
      <c r="I115" s="47">
        <f>SUM(I108:I114)</f>
        <v/>
      </c>
      <c r="J115" s="47">
        <f>SUM(J108:J114)</f>
        <v/>
      </c>
      <c r="K115" s="47">
        <f>SUM(K108:K114)</f>
        <v/>
      </c>
      <c r="L115" s="47">
        <f>SUM(L108:L114)</f>
        <v/>
      </c>
      <c r="M115" s="47">
        <f>SUM(M108:M114)</f>
        <v/>
      </c>
      <c r="N115" s="47">
        <f>SUM(N108:N114)</f>
        <v/>
      </c>
      <c r="O115" s="47">
        <f>SUM(O108:O114)</f>
        <v/>
      </c>
      <c r="P115" s="47">
        <f>SUM(P108:P114)</f>
        <v/>
      </c>
      <c r="Q115" s="47">
        <f>SUM(Q108:Q114)</f>
        <v/>
      </c>
      <c r="R115" s="46">
        <f>SUM(C115:Q115)</f>
        <v/>
      </c>
    </row>
    <row r="117">
      <c r="A117" s="7" t="inlineStr">
        <is>
          <t>Cash position</t>
        </is>
      </c>
      <c r="B117" s="8" t="n"/>
      <c r="C117" s="8" t="n"/>
      <c r="D117" s="8" t="n"/>
      <c r="E117" s="8" t="n"/>
      <c r="F117" s="8" t="n"/>
      <c r="G117" s="8" t="n"/>
      <c r="H117" s="8" t="n"/>
      <c r="I117" s="8" t="n"/>
      <c r="J117" s="8" t="n"/>
      <c r="K117" s="8" t="n"/>
      <c r="L117" s="8" t="n"/>
      <c r="M117" s="8" t="n"/>
      <c r="N117" s="8" t="n"/>
      <c r="O117" s="8" t="n"/>
      <c r="P117" s="8" t="n"/>
      <c r="Q117" s="8" t="n"/>
      <c r="R117" s="8" t="n"/>
    </row>
    <row r="118">
      <c r="A118" s="26" t="inlineStr">
        <is>
          <t>Net cash flow</t>
        </is>
      </c>
      <c r="C118" s="47">
        <f>C77-C84-C91-C96-C105-C115</f>
        <v/>
      </c>
      <c r="D118" s="47">
        <f>D77-D84-D91-D96-D105-D115</f>
        <v/>
      </c>
      <c r="E118" s="47">
        <f>E77-E84-E91-E96-E105-E115</f>
        <v/>
      </c>
      <c r="F118" s="47">
        <f>F77-F84-F91-F96-F105-F115</f>
        <v/>
      </c>
      <c r="G118" s="47">
        <f>G77-G84-G91-G96-G105-G115</f>
        <v/>
      </c>
      <c r="H118" s="47">
        <f>H77-H84-H91-H96-H105-H115</f>
        <v/>
      </c>
      <c r="I118" s="47">
        <f>I77-I84-I91-I96-I105-I115</f>
        <v/>
      </c>
      <c r="J118" s="47">
        <f>J77-J84-J91-J96-J105-J115</f>
        <v/>
      </c>
      <c r="K118" s="47">
        <f>K77-K84-K91-K96-K105-K115</f>
        <v/>
      </c>
      <c r="L118" s="47">
        <f>L77-L84-L91-L96-L105-L115</f>
        <v/>
      </c>
      <c r="M118" s="47">
        <f>M77-M84-M91-M96-M105-M115</f>
        <v/>
      </c>
      <c r="N118" s="47">
        <f>N77-N84-N91-N96-N105-N115</f>
        <v/>
      </c>
      <c r="O118" s="47">
        <f>O77-O84-O91-O96-O105-O115</f>
        <v/>
      </c>
      <c r="P118" s="47">
        <f>P77-P84-P91-P96-P105-P115</f>
        <v/>
      </c>
      <c r="Q118" s="47">
        <f>Q77-Q84-Q91-Q96-Q105-Q115</f>
        <v/>
      </c>
      <c r="R118" s="46">
        <f>SUM(C118:Q118)</f>
        <v/>
      </c>
    </row>
    <row r="119">
      <c r="A119" s="10" t="inlineStr">
        <is>
          <t>Cumulative net cash flow</t>
        </is>
      </c>
      <c r="C119" s="45">
        <f>C118</f>
        <v/>
      </c>
      <c r="D119" s="45">
        <f>C119+D118</f>
        <v/>
      </c>
      <c r="E119" s="45">
        <f>D119+E118</f>
        <v/>
      </c>
      <c r="F119" s="45">
        <f>E119+F118</f>
        <v/>
      </c>
      <c r="G119" s="45">
        <f>F119+G118</f>
        <v/>
      </c>
      <c r="H119" s="45">
        <f>G119+H118</f>
        <v/>
      </c>
      <c r="I119" s="45">
        <f>H119+I118</f>
        <v/>
      </c>
      <c r="J119" s="45">
        <f>I119+J118</f>
        <v/>
      </c>
      <c r="K119" s="45">
        <f>J119+K118</f>
        <v/>
      </c>
      <c r="L119" s="45">
        <f>K119+L118</f>
        <v/>
      </c>
      <c r="M119" s="45">
        <f>L119+M118</f>
        <v/>
      </c>
      <c r="N119" s="45">
        <f>M119+N118</f>
        <v/>
      </c>
      <c r="O119" s="45">
        <f>N119+O118</f>
        <v/>
      </c>
      <c r="P119" s="45">
        <f>O119+P118</f>
        <v/>
      </c>
      <c r="Q119" s="45">
        <f>P119+Q118</f>
        <v/>
      </c>
    </row>
    <row r="120">
      <c r="A120" s="26" t="inlineStr">
        <is>
          <t>Cash balance (starting cash + cumulative)</t>
        </is>
      </c>
      <c r="C120" s="47">
        <f>in_StartCash+C119</f>
        <v/>
      </c>
      <c r="D120" s="47">
        <f>in_StartCash+D119</f>
        <v/>
      </c>
      <c r="E120" s="47">
        <f>in_StartCash+E119</f>
        <v/>
      </c>
      <c r="F120" s="47">
        <f>in_StartCash+F119</f>
        <v/>
      </c>
      <c r="G120" s="47">
        <f>in_StartCash+G119</f>
        <v/>
      </c>
      <c r="H120" s="47">
        <f>in_StartCash+H119</f>
        <v/>
      </c>
      <c r="I120" s="47">
        <f>in_StartCash+I119</f>
        <v/>
      </c>
      <c r="J120" s="47">
        <f>in_StartCash+J119</f>
        <v/>
      </c>
      <c r="K120" s="47">
        <f>in_StartCash+K119</f>
        <v/>
      </c>
      <c r="L120" s="47">
        <f>in_StartCash+L119</f>
        <v/>
      </c>
      <c r="M120" s="47">
        <f>in_StartCash+M119</f>
        <v/>
      </c>
      <c r="N120" s="47">
        <f>in_StartCash+N119</f>
        <v/>
      </c>
      <c r="O120" s="47">
        <f>in_StartCash+O119</f>
        <v/>
      </c>
      <c r="P120" s="47">
        <f>in_StartCash+P119</f>
        <v/>
      </c>
      <c r="Q120" s="47">
        <f>in_StartCash+Q119</f>
        <v/>
      </c>
    </row>
    <row r="121">
      <c r="A121" s="10" t="inlineStr">
        <is>
          <t>Lowest cash month</t>
        </is>
      </c>
      <c r="B121" s="6" t="inlineStr">
        <is>
          <t>Flags the low point</t>
        </is>
      </c>
      <c r="C121" s="10">
        <f>IF(C120=MIN($C$120:$Q$120),"LOWEST","")</f>
        <v/>
      </c>
      <c r="D121" s="10">
        <f>IF(D120=MIN($C$120:$Q$120),"LOWEST","")</f>
        <v/>
      </c>
      <c r="E121" s="10">
        <f>IF(E120=MIN($C$120:$Q$120),"LOWEST","")</f>
        <v/>
      </c>
      <c r="F121" s="10">
        <f>IF(F120=MIN($C$120:$Q$120),"LOWEST","")</f>
        <v/>
      </c>
      <c r="G121" s="10">
        <f>IF(G120=MIN($C$120:$Q$120),"LOWEST","")</f>
        <v/>
      </c>
      <c r="H121" s="10">
        <f>IF(H120=MIN($C$120:$Q$120),"LOWEST","")</f>
        <v/>
      </c>
      <c r="I121" s="10">
        <f>IF(I120=MIN($C$120:$Q$120),"LOWEST","")</f>
        <v/>
      </c>
      <c r="J121" s="10">
        <f>IF(J120=MIN($C$120:$Q$120),"LOWEST","")</f>
        <v/>
      </c>
      <c r="K121" s="10">
        <f>IF(K120=MIN($C$120:$Q$120),"LOWEST","")</f>
        <v/>
      </c>
      <c r="L121" s="10">
        <f>IF(L120=MIN($C$120:$Q$120),"LOWEST","")</f>
        <v/>
      </c>
      <c r="M121" s="10">
        <f>IF(M120=MIN($C$120:$Q$120),"LOWEST","")</f>
        <v/>
      </c>
      <c r="N121" s="10">
        <f>IF(N120=MIN($C$120:$Q$120),"LOWEST","")</f>
        <v/>
      </c>
      <c r="O121" s="10">
        <f>IF(O120=MIN($C$120:$Q$120),"LOWEST","")</f>
        <v/>
      </c>
      <c r="P121" s="10">
        <f>IF(P120=MIN($C$120:$Q$120),"LOWEST","")</f>
        <v/>
      </c>
      <c r="Q121" s="10">
        <f>IF(Q120=MIN($C$120:$Q$120),"LOWEST","")</f>
        <v/>
      </c>
    </row>
    <row r="123">
      <c r="A123" s="7" t="inlineStr">
        <is>
          <t>Operating view (accrual memo: COGS on units sold, launch costs excluded)</t>
        </is>
      </c>
      <c r="B123" s="8" t="n"/>
      <c r="C123" s="8" t="n"/>
      <c r="D123" s="8" t="n"/>
      <c r="E123" s="8" t="n"/>
      <c r="F123" s="8" t="n"/>
      <c r="G123" s="8" t="n"/>
      <c r="H123" s="8" t="n"/>
      <c r="I123" s="8" t="n"/>
      <c r="J123" s="8" t="n"/>
      <c r="K123" s="8" t="n"/>
      <c r="L123" s="8" t="n"/>
      <c r="M123" s="8" t="n"/>
      <c r="N123" s="8" t="n"/>
      <c r="O123" s="8" t="n"/>
      <c r="P123" s="8" t="n"/>
      <c r="Q123" s="8" t="n"/>
      <c r="R123" s="8" t="n"/>
    </row>
    <row r="124">
      <c r="A124" s="10" t="inlineStr">
        <is>
          <t>Revenue (DTC + wholesale invoiced)</t>
        </is>
      </c>
      <c r="C124" s="45">
        <f>C74+C75</f>
        <v/>
      </c>
      <c r="D124" s="45">
        <f>D74+D75</f>
        <v/>
      </c>
      <c r="E124" s="45">
        <f>E74+E75</f>
        <v/>
      </c>
      <c r="F124" s="45">
        <f>F74+F75</f>
        <v/>
      </c>
      <c r="G124" s="45">
        <f>G74+G75</f>
        <v/>
      </c>
      <c r="H124" s="45">
        <f>H74+H75</f>
        <v/>
      </c>
      <c r="I124" s="45">
        <f>I74+I75</f>
        <v/>
      </c>
      <c r="J124" s="45">
        <f>J74+J75</f>
        <v/>
      </c>
      <c r="K124" s="45">
        <f>K74+K75</f>
        <v/>
      </c>
      <c r="L124" s="45">
        <f>L74+L75</f>
        <v/>
      </c>
      <c r="M124" s="45">
        <f>M74+M75</f>
        <v/>
      </c>
      <c r="N124" s="45">
        <f>N74+N75</f>
        <v/>
      </c>
      <c r="O124" s="45">
        <f>O74+O75</f>
        <v/>
      </c>
      <c r="P124" s="45">
        <f>P74+P75</f>
        <v/>
      </c>
      <c r="Q124" s="45">
        <f>Q74+Q75</f>
        <v/>
      </c>
      <c r="R124" s="46">
        <f>SUM(C124:Q124)</f>
        <v/>
      </c>
    </row>
    <row r="125">
      <c r="A125" s="10" t="inlineStr">
        <is>
          <t>COGS on units sold</t>
        </is>
      </c>
      <c r="C125" s="45">
        <f>C53*$B$6+C64*$B$7</f>
        <v/>
      </c>
      <c r="D125" s="45">
        <f>D53*$B$6+D64*$B$7</f>
        <v/>
      </c>
      <c r="E125" s="45">
        <f>E53*$B$6+E64*$B$7</f>
        <v/>
      </c>
      <c r="F125" s="45">
        <f>F53*$B$6+F64*$B$7</f>
        <v/>
      </c>
      <c r="G125" s="45">
        <f>G53*$B$6+G64*$B$7</f>
        <v/>
      </c>
      <c r="H125" s="45">
        <f>H53*$B$6+H64*$B$7</f>
        <v/>
      </c>
      <c r="I125" s="45">
        <f>I53*$B$6+I64*$B$7</f>
        <v/>
      </c>
      <c r="J125" s="45">
        <f>J53*$B$6+J64*$B$7</f>
        <v/>
      </c>
      <c r="K125" s="45">
        <f>K53*$B$6+K64*$B$7</f>
        <v/>
      </c>
      <c r="L125" s="45">
        <f>L53*$B$6+L64*$B$7</f>
        <v/>
      </c>
      <c r="M125" s="45">
        <f>M53*$B$6+M64*$B$7</f>
        <v/>
      </c>
      <c r="N125" s="45">
        <f>N53*$B$6+N64*$B$7</f>
        <v/>
      </c>
      <c r="O125" s="45">
        <f>O53*$B$6+O64*$B$7</f>
        <v/>
      </c>
      <c r="P125" s="45">
        <f>P53*$B$6+P64*$B$7</f>
        <v/>
      </c>
      <c r="Q125" s="45">
        <f>Q53*$B$6+Q64*$B$7</f>
        <v/>
      </c>
      <c r="R125" s="46">
        <f>SUM(C125:Q125)</f>
        <v/>
      </c>
    </row>
    <row r="126">
      <c r="A126" s="26" t="inlineStr">
        <is>
          <t>Operating profit (revenue - COGS - variable - marketing - fixed)</t>
        </is>
      </c>
      <c r="C126" s="47">
        <f>C124-C125-C91-C96-C105</f>
        <v/>
      </c>
      <c r="D126" s="47">
        <f>D124-D125-D91-D96-D105</f>
        <v/>
      </c>
      <c r="E126" s="47">
        <f>E124-E125-E91-E96-E105</f>
        <v/>
      </c>
      <c r="F126" s="47">
        <f>F124-F125-F91-F96-F105</f>
        <v/>
      </c>
      <c r="G126" s="47">
        <f>G124-G125-G91-G96-G105</f>
        <v/>
      </c>
      <c r="H126" s="47">
        <f>H124-H125-H91-H96-H105</f>
        <v/>
      </c>
      <c r="I126" s="47">
        <f>I124-I125-I91-I96-I105</f>
        <v/>
      </c>
      <c r="J126" s="47">
        <f>J124-J125-J91-J96-J105</f>
        <v/>
      </c>
      <c r="K126" s="47">
        <f>K124-K125-K91-K96-K105</f>
        <v/>
      </c>
      <c r="L126" s="47">
        <f>L124-L125-L91-L96-L105</f>
        <v/>
      </c>
      <c r="M126" s="47">
        <f>M124-M125-M91-M96-M105</f>
        <v/>
      </c>
      <c r="N126" s="47">
        <f>N124-N125-N91-N96-N105</f>
        <v/>
      </c>
      <c r="O126" s="47">
        <f>O124-O125-O91-O96-O105</f>
        <v/>
      </c>
      <c r="P126" s="47">
        <f>P124-P125-P91-P96-P105</f>
        <v/>
      </c>
      <c r="Q126" s="47">
        <f>Q124-Q125-Q91-Q96-Q105</f>
        <v/>
      </c>
      <c r="R126" s="46">
        <f>SUM(C126:Q126)</f>
        <v/>
      </c>
    </row>
    <row r="127">
      <c r="A127" s="10" t="inlineStr">
        <is>
          <t>Operating break-even flag (1 = profit &gt;= 0 while selling)</t>
        </is>
      </c>
      <c r="C127" s="39">
        <f>IF(AND(C24=1,C126&gt;=0),1,0)</f>
        <v/>
      </c>
      <c r="D127" s="39">
        <f>IF(AND(D24=1,D126&gt;=0),1,0)</f>
        <v/>
      </c>
      <c r="E127" s="39">
        <f>IF(AND(E24=1,E126&gt;=0),1,0)</f>
        <v/>
      </c>
      <c r="F127" s="39">
        <f>IF(AND(F24=1,F126&gt;=0),1,0)</f>
        <v/>
      </c>
      <c r="G127" s="39">
        <f>IF(AND(G24=1,G126&gt;=0),1,0)</f>
        <v/>
      </c>
      <c r="H127" s="39">
        <f>IF(AND(H24=1,H126&gt;=0),1,0)</f>
        <v/>
      </c>
      <c r="I127" s="39">
        <f>IF(AND(I24=1,I126&gt;=0),1,0)</f>
        <v/>
      </c>
      <c r="J127" s="39">
        <f>IF(AND(J24=1,J126&gt;=0),1,0)</f>
        <v/>
      </c>
      <c r="K127" s="39">
        <f>IF(AND(K24=1,K126&gt;=0),1,0)</f>
        <v/>
      </c>
      <c r="L127" s="39">
        <f>IF(AND(L24=1,L126&gt;=0),1,0)</f>
        <v/>
      </c>
      <c r="M127" s="39">
        <f>IF(AND(M24=1,M126&gt;=0),1,0)</f>
        <v/>
      </c>
      <c r="N127" s="39">
        <f>IF(AND(N24=1,N126&gt;=0),1,0)</f>
        <v/>
      </c>
      <c r="O127" s="39">
        <f>IF(AND(O24=1,O126&gt;=0),1,0)</f>
        <v/>
      </c>
      <c r="P127" s="39">
        <f>IF(AND(P24=1,P126&gt;=0),1,0)</f>
        <v/>
      </c>
      <c r="Q127" s="39">
        <f>IF(AND(Q24=1,Q126&gt;=0),1,0)</f>
        <v/>
      </c>
    </row>
    <row r="128">
      <c r="A128" s="10" t="inlineStr">
        <is>
          <t>Cash payback flag (1 = cumulative net cash &gt;= 0 while selling)</t>
        </is>
      </c>
      <c r="C128" s="39">
        <f>IF(AND(C24=1,C119&gt;=0),1,0)</f>
        <v/>
      </c>
      <c r="D128" s="39">
        <f>IF(AND(D24=1,D119&gt;=0),1,0)</f>
        <v/>
      </c>
      <c r="E128" s="39">
        <f>IF(AND(E24=1,E119&gt;=0),1,0)</f>
        <v/>
      </c>
      <c r="F128" s="39">
        <f>IF(AND(F24=1,F119&gt;=0),1,0)</f>
        <v/>
      </c>
      <c r="G128" s="39">
        <f>IF(AND(G24=1,G119&gt;=0),1,0)</f>
        <v/>
      </c>
      <c r="H128" s="39">
        <f>IF(AND(H24=1,H119&gt;=0),1,0)</f>
        <v/>
      </c>
      <c r="I128" s="39">
        <f>IF(AND(I24=1,I119&gt;=0),1,0)</f>
        <v/>
      </c>
      <c r="J128" s="39">
        <f>IF(AND(J24=1,J119&gt;=0),1,0)</f>
        <v/>
      </c>
      <c r="K128" s="39">
        <f>IF(AND(K24=1,K119&gt;=0),1,0)</f>
        <v/>
      </c>
      <c r="L128" s="39">
        <f>IF(AND(L24=1,L119&gt;=0),1,0)</f>
        <v/>
      </c>
      <c r="M128" s="39">
        <f>IF(AND(M24=1,M119&gt;=0),1,0)</f>
        <v/>
      </c>
      <c r="N128" s="39">
        <f>IF(AND(N24=1,N119&gt;=0),1,0)</f>
        <v/>
      </c>
      <c r="O128" s="39">
        <f>IF(AND(O24=1,O119&gt;=0),1,0)</f>
        <v/>
      </c>
      <c r="P128" s="39">
        <f>IF(AND(P24=1,P119&gt;=0),1,0)</f>
        <v/>
      </c>
      <c r="Q128" s="39">
        <f>IF(AND(Q24=1,Q119&gt;=0),1,0)</f>
        <v/>
      </c>
    </row>
    <row r="129">
      <c r="A129" s="10" t="inlineStr">
        <is>
          <t>Closing inventory at cost</t>
        </is>
      </c>
      <c r="C129" s="45">
        <f>C55*$B$6+C66*$B$7</f>
        <v/>
      </c>
      <c r="D129" s="45">
        <f>D55*$B$6+D66*$B$7</f>
        <v/>
      </c>
      <c r="E129" s="45">
        <f>E55*$B$6+E66*$B$7</f>
        <v/>
      </c>
      <c r="F129" s="45">
        <f>F55*$B$6+F66*$B$7</f>
        <v/>
      </c>
      <c r="G129" s="45">
        <f>G55*$B$6+G66*$B$7</f>
        <v/>
      </c>
      <c r="H129" s="45">
        <f>H55*$B$6+H66*$B$7</f>
        <v/>
      </c>
      <c r="I129" s="45">
        <f>I55*$B$6+I66*$B$7</f>
        <v/>
      </c>
      <c r="J129" s="45">
        <f>J55*$B$6+J66*$B$7</f>
        <v/>
      </c>
      <c r="K129" s="45">
        <f>K55*$B$6+K66*$B$7</f>
        <v/>
      </c>
      <c r="L129" s="45">
        <f>L55*$B$6+L66*$B$7</f>
        <v/>
      </c>
      <c r="M129" s="45">
        <f>M55*$B$6+M66*$B$7</f>
        <v/>
      </c>
      <c r="N129" s="45">
        <f>N55*$B$6+N66*$B$7</f>
        <v/>
      </c>
      <c r="O129" s="45">
        <f>O55*$B$6+O66*$B$7</f>
        <v/>
      </c>
      <c r="P129" s="45">
        <f>P55*$B$6+P66*$B$7</f>
        <v/>
      </c>
      <c r="Q129" s="45">
        <f>Q55*$B$6+Q66*$B$7</f>
        <v/>
      </c>
    </row>
  </sheetData>
  <conditionalFormatting sqref="C120:Q120">
    <cfRule type="expression" priority="1" dxfId="0">
      <formula>C120=MIN($C$120:$Q$120)</formula>
    </cfRule>
  </conditionalFormatting>
  <conditionalFormatting sqref="C121:Q121">
    <cfRule type="expression" priority="2" dxfId="0">
      <formula>C121="LOWEST"</formula>
    </cfRule>
  </conditionalFormatting>
  <conditionalFormatting sqref="C118:Q118">
    <cfRule type="expression" priority="3" dxfId="1">
      <formula>C118&lt;0</formula>
    </cfRule>
  </conditionalFormatting>
  <conditionalFormatting sqref="C54:Q54">
    <cfRule type="expression" priority="4" dxfId="2">
      <formula>C54&gt;0</formula>
    </cfRule>
  </conditionalFormatting>
  <conditionalFormatting sqref="C65:Q65">
    <cfRule type="expression" priority="5" dxfId="2">
      <formula>C65&gt;0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29"/>
  <sheetViews>
    <sheetView tabSelected="0" workbookViewId="0">
      <pane xSplit="2" ySplit="23" topLeftCell="C24" activePane="bottomRight" state="frozen"/>
      <selection pane="topRight"/>
      <selection pane="bottomLeft"/>
      <selection pane="bottomRight" activeCell="A1" sqref="A1"/>
    </sheetView>
  </sheetViews>
  <sheetFormatPr baseColWidth="8" defaultRowHeight="15"/>
  <cols>
    <col width="58" customWidth="1" min="1" max="1"/>
    <col width="16"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3" customWidth="1" min="18" max="18"/>
  </cols>
  <sheetData>
    <row r="1">
      <c r="A1" s="5" t="inlineStr">
        <is>
          <t>Calculation copy: Standard runs, High demand (feeds Scenarios; do not edit)</t>
        </is>
      </c>
    </row>
    <row r="2">
      <c r="A2" s="6" t="inlineStr">
        <is>
          <t>Months Oct 2026 to Dec 2027. All figures are projections from the Inputs sheet, not actual results. Cash view: inventory is a cash outflow when bought; COGS appears only in the operating view at the bottom.</t>
        </is>
      </c>
    </row>
    <row r="3">
      <c r="A3" s="10" t="inlineStr">
        <is>
          <t>Run-size mode</t>
        </is>
      </c>
      <c r="B3" s="30">
        <f>"Standard"</f>
        <v/>
      </c>
    </row>
    <row r="4">
      <c r="A4" s="10" t="inlineStr">
        <is>
          <t>Demand multiplier</t>
        </is>
      </c>
      <c r="B4" s="31">
        <f>in_MultHigh</f>
        <v/>
      </c>
    </row>
    <row r="5">
      <c r="A5" s="10" t="inlineStr">
        <is>
          <t>Demand case</t>
        </is>
      </c>
      <c r="B5" s="30">
        <f>"High"</f>
        <v/>
      </c>
    </row>
    <row r="6">
      <c r="A6" s="10" t="inlineStr">
        <is>
          <t>Pouch cost of goods (by mode)</t>
        </is>
      </c>
      <c r="B6" s="32">
        <f>IF($B$3="Lean",in_CogsLean,in_CogsStd)</f>
        <v/>
      </c>
    </row>
    <row r="7">
      <c r="A7" s="10" t="inlineStr">
        <is>
          <t>Stick cost of goods (by mode)</t>
        </is>
      </c>
      <c r="B7" s="32">
        <f>IF($B$3="Lean",in_StickCogsLean,in_StickCogsStd)</f>
        <v/>
      </c>
    </row>
    <row r="8">
      <c r="A8" s="10" t="inlineStr">
        <is>
          <t>Pouch run size (by mode)</t>
        </is>
      </c>
      <c r="B8" s="33">
        <f>IF($B$3="Lean",in_RunLean,in_RunStd)</f>
        <v/>
      </c>
    </row>
    <row r="9">
      <c r="A9" s="10" t="inlineStr">
        <is>
          <t>Stick run size (by mode)</t>
        </is>
      </c>
      <c r="B9" s="33">
        <f>IF($B$3="Lean",in_StickRunLean,in_StickRunStd)</f>
        <v/>
      </c>
    </row>
    <row r="10">
      <c r="A10" s="10" t="inlineStr">
        <is>
          <t>Sample credit on first order (by mode)</t>
        </is>
      </c>
      <c r="B10" s="34">
        <f>IF($B$3="Lean",in_SampleCreditLean,in_SampleCreditStd)</f>
        <v/>
      </c>
    </row>
    <row r="12">
      <c r="A12" s="7" t="inlineStr">
        <is>
          <t>Summary for this sheet's mode and case</t>
        </is>
      </c>
      <c r="B12" s="8" t="n"/>
    </row>
    <row r="13">
      <c r="A13" s="10" t="inlineStr">
        <is>
          <t>Lowest cash balance</t>
        </is>
      </c>
      <c r="B13" s="35">
        <f>MIN($C$120:$Q$120)</f>
        <v/>
      </c>
    </row>
    <row r="14">
      <c r="A14" s="10" t="inlineStr">
        <is>
          <t>Month of lowest cash balance</t>
        </is>
      </c>
      <c r="B14" s="36">
        <f>INDEX($C$23:$Q$23,MATCH(MIN($C$120:$Q$120),$C$120:$Q$120,0))</f>
        <v/>
      </c>
    </row>
    <row r="15">
      <c r="A15" s="10" t="inlineStr">
        <is>
          <t>Peak funding need (lowest cumulative net cash flow)</t>
        </is>
      </c>
      <c r="B15" s="35">
        <f>MIN(0,MIN($C$119:$Q$119))</f>
        <v/>
      </c>
    </row>
    <row r="16">
      <c r="A16" s="10" t="inlineStr">
        <is>
          <t>Operating break-even month (first month operating profit &gt;= 0)</t>
        </is>
      </c>
      <c r="B16" s="36">
        <f>IFERROR(INDEX($C$23:$Q$23,MATCH(1,$C$127:$Q$127,0)),"Not by Dec 2027")</f>
        <v/>
      </c>
    </row>
    <row r="17">
      <c r="A17" s="10" t="inlineStr">
        <is>
          <t>Cash payback month (cumulative net cash flow back to &gt;= 0)</t>
        </is>
      </c>
      <c r="B17" s="36">
        <f>IFERROR(INDEX($C$23:$Q$23,MATCH(1,$C$128:$Q$128,0)),"Not by Dec 2027")</f>
        <v/>
      </c>
    </row>
    <row r="18">
      <c r="A18" s="10" t="inlineStr">
        <is>
          <t>Cash balance, end of Jun 2027</t>
        </is>
      </c>
      <c r="B18" s="35">
        <f>IFERROR(INDEX($C$120:$Q$120,MATCH(DATE(2027,6,1),$C$23:$Q$23,0)),"n/a")</f>
        <v/>
      </c>
    </row>
    <row r="19">
      <c r="A19" s="10" t="inlineStr">
        <is>
          <t>Cash balance, end of Dec 2027</t>
        </is>
      </c>
      <c r="B19" s="35">
        <f>IFERROR(INDEX($C$120:$Q$120,MATCH(DATE(2027,12,1),$C$23:$Q$23,0)),"n/a")</f>
        <v/>
      </c>
    </row>
    <row r="20">
      <c r="A20" s="10" t="inlineStr">
        <is>
          <t>Stockout check (pouch + stick units short; should be 0)</t>
        </is>
      </c>
      <c r="B20" s="37">
        <f>SUM($C$54:$Q$54)+SUM($C$65:$Q$65)</f>
        <v/>
      </c>
    </row>
    <row r="21">
      <c r="A21" s="10" t="inlineStr">
        <is>
          <t>Operating profit, Oct 2026 to Dec 2027 (launch costs excluded)</t>
        </is>
      </c>
      <c r="B21" s="35">
        <f>SUM($C$126:$Q$126)</f>
        <v/>
      </c>
    </row>
    <row r="23">
      <c r="A23" s="9" t="inlineStr">
        <is>
          <t>Line</t>
        </is>
      </c>
      <c r="B23" s="9" t="inlineStr">
        <is>
          <t>Note</t>
        </is>
      </c>
      <c r="C23" s="38">
        <f>DATE(YEAR(in_ModelStart),MONTH(in_ModelStart),1)</f>
        <v/>
      </c>
      <c r="D23" s="38">
        <f>EDATE(C23,1)</f>
        <v/>
      </c>
      <c r="E23" s="38">
        <f>EDATE(D23,1)</f>
        <v/>
      </c>
      <c r="F23" s="38">
        <f>EDATE(E23,1)</f>
        <v/>
      </c>
      <c r="G23" s="38">
        <f>EDATE(F23,1)</f>
        <v/>
      </c>
      <c r="H23" s="38">
        <f>EDATE(G23,1)</f>
        <v/>
      </c>
      <c r="I23" s="38">
        <f>EDATE(H23,1)</f>
        <v/>
      </c>
      <c r="J23" s="38">
        <f>EDATE(I23,1)</f>
        <v/>
      </c>
      <c r="K23" s="38">
        <f>EDATE(J23,1)</f>
        <v/>
      </c>
      <c r="L23" s="38">
        <f>EDATE(K23,1)</f>
        <v/>
      </c>
      <c r="M23" s="38">
        <f>EDATE(L23,1)</f>
        <v/>
      </c>
      <c r="N23" s="38">
        <f>EDATE(M23,1)</f>
        <v/>
      </c>
      <c r="O23" s="38">
        <f>EDATE(N23,1)</f>
        <v/>
      </c>
      <c r="P23" s="38">
        <f>EDATE(O23,1)</f>
        <v/>
      </c>
      <c r="Q23" s="38">
        <f>EDATE(P23,1)</f>
        <v/>
      </c>
      <c r="R23" s="9" t="inlineStr">
        <is>
          <t>Total</t>
        </is>
      </c>
    </row>
    <row r="24">
      <c r="A24" s="10" t="inlineStr">
        <is>
          <t>Selling? (1 from the first ship month)</t>
        </is>
      </c>
      <c r="C24" s="39">
        <f>IF(C$23&gt;=DATE(YEAR(in_FirstShip),MONTH(in_FirstShip),1),1,0)</f>
        <v/>
      </c>
      <c r="D24" s="39">
        <f>IF(D$23&gt;=DATE(YEAR(in_FirstShip),MONTH(in_FirstShip),1),1,0)</f>
        <v/>
      </c>
      <c r="E24" s="39">
        <f>IF(E$23&gt;=DATE(YEAR(in_FirstShip),MONTH(in_FirstShip),1),1,0)</f>
        <v/>
      </c>
      <c r="F24" s="39">
        <f>IF(F$23&gt;=DATE(YEAR(in_FirstShip),MONTH(in_FirstShip),1),1,0)</f>
        <v/>
      </c>
      <c r="G24" s="39">
        <f>IF(G$23&gt;=DATE(YEAR(in_FirstShip),MONTH(in_FirstShip),1),1,0)</f>
        <v/>
      </c>
      <c r="H24" s="39">
        <f>IF(H$23&gt;=DATE(YEAR(in_FirstShip),MONTH(in_FirstShip),1),1,0)</f>
        <v/>
      </c>
      <c r="I24" s="39">
        <f>IF(I$23&gt;=DATE(YEAR(in_FirstShip),MONTH(in_FirstShip),1),1,0)</f>
        <v/>
      </c>
      <c r="J24" s="39">
        <f>IF(J$23&gt;=DATE(YEAR(in_FirstShip),MONTH(in_FirstShip),1),1,0)</f>
        <v/>
      </c>
      <c r="K24" s="39">
        <f>IF(K$23&gt;=DATE(YEAR(in_FirstShip),MONTH(in_FirstShip),1),1,0)</f>
        <v/>
      </c>
      <c r="L24" s="39">
        <f>IF(L$23&gt;=DATE(YEAR(in_FirstShip),MONTH(in_FirstShip),1),1,0)</f>
        <v/>
      </c>
      <c r="M24" s="39">
        <f>IF(M$23&gt;=DATE(YEAR(in_FirstShip),MONTH(in_FirstShip),1),1,0)</f>
        <v/>
      </c>
      <c r="N24" s="39">
        <f>IF(N$23&gt;=DATE(YEAR(in_FirstShip),MONTH(in_FirstShip),1),1,0)</f>
        <v/>
      </c>
      <c r="O24" s="39">
        <f>IF(O$23&gt;=DATE(YEAR(in_FirstShip),MONTH(in_FirstShip),1),1,0)</f>
        <v/>
      </c>
      <c r="P24" s="39">
        <f>IF(P$23&gt;=DATE(YEAR(in_FirstShip),MONTH(in_FirstShip),1),1,0)</f>
        <v/>
      </c>
      <c r="Q24" s="39">
        <f>IF(Q$23&gt;=DATE(YEAR(in_FirstShip),MONTH(in_FirstShip),1),1,0)</f>
        <v/>
      </c>
    </row>
    <row r="26">
      <c r="A26" s="7" t="inlineStr">
        <is>
          <t>DTC customers and orders</t>
        </is>
      </c>
      <c r="B26" s="8" t="n"/>
      <c r="C26" s="8" t="n"/>
      <c r="D26" s="8" t="n"/>
      <c r="E26" s="8" t="n"/>
      <c r="F26" s="8" t="n"/>
      <c r="G26" s="8" t="n"/>
      <c r="H26" s="8" t="n"/>
      <c r="I26" s="8" t="n"/>
      <c r="J26" s="8" t="n"/>
      <c r="K26" s="8" t="n"/>
      <c r="L26" s="8" t="n"/>
      <c r="M26" s="8" t="n"/>
      <c r="N26" s="8" t="n"/>
      <c r="O26" s="8" t="n"/>
      <c r="P26" s="8" t="n"/>
      <c r="Q26" s="8" t="n"/>
      <c r="R26" s="8" t="n"/>
    </row>
    <row r="27">
      <c r="A27" s="10" t="inlineStr">
        <is>
          <t>Waitlist first orders (first ship month only)</t>
        </is>
      </c>
      <c r="B27" s="6" t="inlineStr">
        <is>
          <t>Waitlist x conversion</t>
        </is>
      </c>
      <c r="C27" s="40">
        <f>IF(EOMONTH(in_FirstShip,0)=EOMONTH(C$23,0),in_WaitSize*in_WaitConv*$B$4,0)</f>
        <v/>
      </c>
      <c r="D27" s="40">
        <f>IF(EOMONTH(in_FirstShip,0)=EOMONTH(D$23,0),in_WaitSize*in_WaitConv*$B$4,0)</f>
        <v/>
      </c>
      <c r="E27" s="40">
        <f>IF(EOMONTH(in_FirstShip,0)=EOMONTH(E$23,0),in_WaitSize*in_WaitConv*$B$4,0)</f>
        <v/>
      </c>
      <c r="F27" s="40">
        <f>IF(EOMONTH(in_FirstShip,0)=EOMONTH(F$23,0),in_WaitSize*in_WaitConv*$B$4,0)</f>
        <v/>
      </c>
      <c r="G27" s="40">
        <f>IF(EOMONTH(in_FirstShip,0)=EOMONTH(G$23,0),in_WaitSize*in_WaitConv*$B$4,0)</f>
        <v/>
      </c>
      <c r="H27" s="40">
        <f>IF(EOMONTH(in_FirstShip,0)=EOMONTH(H$23,0),in_WaitSize*in_WaitConv*$B$4,0)</f>
        <v/>
      </c>
      <c r="I27" s="40">
        <f>IF(EOMONTH(in_FirstShip,0)=EOMONTH(I$23,0),in_WaitSize*in_WaitConv*$B$4,0)</f>
        <v/>
      </c>
      <c r="J27" s="40">
        <f>IF(EOMONTH(in_FirstShip,0)=EOMONTH(J$23,0),in_WaitSize*in_WaitConv*$B$4,0)</f>
        <v/>
      </c>
      <c r="K27" s="40">
        <f>IF(EOMONTH(in_FirstShip,0)=EOMONTH(K$23,0),in_WaitSize*in_WaitConv*$B$4,0)</f>
        <v/>
      </c>
      <c r="L27" s="40">
        <f>IF(EOMONTH(in_FirstShip,0)=EOMONTH(L$23,0),in_WaitSize*in_WaitConv*$B$4,0)</f>
        <v/>
      </c>
      <c r="M27" s="40">
        <f>IF(EOMONTH(in_FirstShip,0)=EOMONTH(M$23,0),in_WaitSize*in_WaitConv*$B$4,0)</f>
        <v/>
      </c>
      <c r="N27" s="40">
        <f>IF(EOMONTH(in_FirstShip,0)=EOMONTH(N$23,0),in_WaitSize*in_WaitConv*$B$4,0)</f>
        <v/>
      </c>
      <c r="O27" s="40">
        <f>IF(EOMONTH(in_FirstShip,0)=EOMONTH(O$23,0),in_WaitSize*in_WaitConv*$B$4,0)</f>
        <v/>
      </c>
      <c r="P27" s="40">
        <f>IF(EOMONTH(in_FirstShip,0)=EOMONTH(P$23,0),in_WaitSize*in_WaitConv*$B$4,0)</f>
        <v/>
      </c>
      <c r="Q27" s="40">
        <f>IF(EOMONTH(in_FirstShip,0)=EOMONTH(Q$23,0),in_WaitSize*in_WaitConv*$B$4,0)</f>
        <v/>
      </c>
      <c r="R27" s="41">
        <f>SUM(C27:Q27)</f>
        <v/>
      </c>
    </row>
    <row r="28">
      <c r="A28" s="10" t="inlineStr">
        <is>
          <t>Organic new customers</t>
        </is>
      </c>
      <c r="C28" s="40">
        <f>IFERROR(INDEX(Inputs!$B$98:$B$107,MATCH(C$23,Inputs!$A$98:$A$107,0)),0)*$B$4*C24</f>
        <v/>
      </c>
      <c r="D28" s="40">
        <f>IFERROR(INDEX(Inputs!$B$98:$B$107,MATCH(D$23,Inputs!$A$98:$A$107,0)),0)*$B$4*D24</f>
        <v/>
      </c>
      <c r="E28" s="40">
        <f>IFERROR(INDEX(Inputs!$B$98:$B$107,MATCH(E$23,Inputs!$A$98:$A$107,0)),0)*$B$4*E24</f>
        <v/>
      </c>
      <c r="F28" s="40">
        <f>IFERROR(INDEX(Inputs!$B$98:$B$107,MATCH(F$23,Inputs!$A$98:$A$107,0)),0)*$B$4*F24</f>
        <v/>
      </c>
      <c r="G28" s="40">
        <f>IFERROR(INDEX(Inputs!$B$98:$B$107,MATCH(G$23,Inputs!$A$98:$A$107,0)),0)*$B$4*G24</f>
        <v/>
      </c>
      <c r="H28" s="40">
        <f>IFERROR(INDEX(Inputs!$B$98:$B$107,MATCH(H$23,Inputs!$A$98:$A$107,0)),0)*$B$4*H24</f>
        <v/>
      </c>
      <c r="I28" s="40">
        <f>IFERROR(INDEX(Inputs!$B$98:$B$107,MATCH(I$23,Inputs!$A$98:$A$107,0)),0)*$B$4*I24</f>
        <v/>
      </c>
      <c r="J28" s="40">
        <f>IFERROR(INDEX(Inputs!$B$98:$B$107,MATCH(J$23,Inputs!$A$98:$A$107,0)),0)*$B$4*J24</f>
        <v/>
      </c>
      <c r="K28" s="40">
        <f>IFERROR(INDEX(Inputs!$B$98:$B$107,MATCH(K$23,Inputs!$A$98:$A$107,0)),0)*$B$4*K24</f>
        <v/>
      </c>
      <c r="L28" s="40">
        <f>IFERROR(INDEX(Inputs!$B$98:$B$107,MATCH(L$23,Inputs!$A$98:$A$107,0)),0)*$B$4*L24</f>
        <v/>
      </c>
      <c r="M28" s="40">
        <f>IFERROR(INDEX(Inputs!$B$98:$B$107,MATCH(M$23,Inputs!$A$98:$A$107,0)),0)*$B$4*M24</f>
        <v/>
      </c>
      <c r="N28" s="40">
        <f>IFERROR(INDEX(Inputs!$B$98:$B$107,MATCH(N$23,Inputs!$A$98:$A$107,0)),0)*$B$4*N24</f>
        <v/>
      </c>
      <c r="O28" s="40">
        <f>IFERROR(INDEX(Inputs!$B$98:$B$107,MATCH(O$23,Inputs!$A$98:$A$107,0)),0)*$B$4*O24</f>
        <v/>
      </c>
      <c r="P28" s="40">
        <f>IFERROR(INDEX(Inputs!$B$98:$B$107,MATCH(P$23,Inputs!$A$98:$A$107,0)),0)*$B$4*P24</f>
        <v/>
      </c>
      <c r="Q28" s="40">
        <f>IFERROR(INDEX(Inputs!$B$98:$B$107,MATCH(Q$23,Inputs!$A$98:$A$107,0)),0)*$B$4*Q24</f>
        <v/>
      </c>
      <c r="R28" s="41">
        <f>SUM(C28:Q28)</f>
        <v/>
      </c>
    </row>
    <row r="29">
      <c r="A29" s="10" t="inlineStr">
        <is>
          <t>Paid new customers</t>
        </is>
      </c>
      <c r="C29" s="40">
        <f>IFERROR(INDEX(Inputs!$C$98:$C$107,MATCH(C$23,Inputs!$A$98:$A$107,0)),0)*$B$4*C24</f>
        <v/>
      </c>
      <c r="D29" s="40">
        <f>IFERROR(INDEX(Inputs!$C$98:$C$107,MATCH(D$23,Inputs!$A$98:$A$107,0)),0)*$B$4*D24</f>
        <v/>
      </c>
      <c r="E29" s="40">
        <f>IFERROR(INDEX(Inputs!$C$98:$C$107,MATCH(E$23,Inputs!$A$98:$A$107,0)),0)*$B$4*E24</f>
        <v/>
      </c>
      <c r="F29" s="40">
        <f>IFERROR(INDEX(Inputs!$C$98:$C$107,MATCH(F$23,Inputs!$A$98:$A$107,0)),0)*$B$4*F24</f>
        <v/>
      </c>
      <c r="G29" s="40">
        <f>IFERROR(INDEX(Inputs!$C$98:$C$107,MATCH(G$23,Inputs!$A$98:$A$107,0)),0)*$B$4*G24</f>
        <v/>
      </c>
      <c r="H29" s="40">
        <f>IFERROR(INDEX(Inputs!$C$98:$C$107,MATCH(H$23,Inputs!$A$98:$A$107,0)),0)*$B$4*H24</f>
        <v/>
      </c>
      <c r="I29" s="40">
        <f>IFERROR(INDEX(Inputs!$C$98:$C$107,MATCH(I$23,Inputs!$A$98:$A$107,0)),0)*$B$4*I24</f>
        <v/>
      </c>
      <c r="J29" s="40">
        <f>IFERROR(INDEX(Inputs!$C$98:$C$107,MATCH(J$23,Inputs!$A$98:$A$107,0)),0)*$B$4*J24</f>
        <v/>
      </c>
      <c r="K29" s="40">
        <f>IFERROR(INDEX(Inputs!$C$98:$C$107,MATCH(K$23,Inputs!$A$98:$A$107,0)),0)*$B$4*K24</f>
        <v/>
      </c>
      <c r="L29" s="40">
        <f>IFERROR(INDEX(Inputs!$C$98:$C$107,MATCH(L$23,Inputs!$A$98:$A$107,0)),0)*$B$4*L24</f>
        <v/>
      </c>
      <c r="M29" s="40">
        <f>IFERROR(INDEX(Inputs!$C$98:$C$107,MATCH(M$23,Inputs!$A$98:$A$107,0)),0)*$B$4*M24</f>
        <v/>
      </c>
      <c r="N29" s="40">
        <f>IFERROR(INDEX(Inputs!$C$98:$C$107,MATCH(N$23,Inputs!$A$98:$A$107,0)),0)*$B$4*N24</f>
        <v/>
      </c>
      <c r="O29" s="40">
        <f>IFERROR(INDEX(Inputs!$C$98:$C$107,MATCH(O$23,Inputs!$A$98:$A$107,0)),0)*$B$4*O24</f>
        <v/>
      </c>
      <c r="P29" s="40">
        <f>IFERROR(INDEX(Inputs!$C$98:$C$107,MATCH(P$23,Inputs!$A$98:$A$107,0)),0)*$B$4*P24</f>
        <v/>
      </c>
      <c r="Q29" s="40">
        <f>IFERROR(INDEX(Inputs!$C$98:$C$107,MATCH(Q$23,Inputs!$A$98:$A$107,0)),0)*$B$4*Q24</f>
        <v/>
      </c>
      <c r="R29" s="41">
        <f>SUM(C29:Q29)</f>
        <v/>
      </c>
    </row>
    <row r="30">
      <c r="A30" s="26" t="inlineStr">
        <is>
          <t>Total new DTC customers</t>
        </is>
      </c>
      <c r="C30" s="42">
        <f>C27+C28+C29</f>
        <v/>
      </c>
      <c r="D30" s="42">
        <f>D27+D28+D29</f>
        <v/>
      </c>
      <c r="E30" s="42">
        <f>E27+E28+E29</f>
        <v/>
      </c>
      <c r="F30" s="42">
        <f>F27+F28+F29</f>
        <v/>
      </c>
      <c r="G30" s="42">
        <f>G27+G28+G29</f>
        <v/>
      </c>
      <c r="H30" s="42">
        <f>H27+H28+H29</f>
        <v/>
      </c>
      <c r="I30" s="42">
        <f>I27+I28+I29</f>
        <v/>
      </c>
      <c r="J30" s="42">
        <f>J27+J28+J29</f>
        <v/>
      </c>
      <c r="K30" s="42">
        <f>K27+K28+K29</f>
        <v/>
      </c>
      <c r="L30" s="42">
        <f>L27+L28+L29</f>
        <v/>
      </c>
      <c r="M30" s="42">
        <f>M27+M28+M29</f>
        <v/>
      </c>
      <c r="N30" s="42">
        <f>N27+N28+N29</f>
        <v/>
      </c>
      <c r="O30" s="42">
        <f>O27+O28+O29</f>
        <v/>
      </c>
      <c r="P30" s="42">
        <f>P27+P28+P29</f>
        <v/>
      </c>
      <c r="Q30" s="42">
        <f>Q27+Q28+Q29</f>
        <v/>
      </c>
      <c r="R30" s="41">
        <f>SUM(C30:Q30)</f>
        <v/>
      </c>
    </row>
    <row r="31">
      <c r="A31" s="10" t="inlineStr">
        <is>
          <t>New subscribers</t>
        </is>
      </c>
      <c r="C31" s="40">
        <f>C30*in_SubShare</f>
        <v/>
      </c>
      <c r="D31" s="40">
        <f>D30*in_SubShare</f>
        <v/>
      </c>
      <c r="E31" s="40">
        <f>E30*in_SubShare</f>
        <v/>
      </c>
      <c r="F31" s="40">
        <f>F30*in_SubShare</f>
        <v/>
      </c>
      <c r="G31" s="40">
        <f>G30*in_SubShare</f>
        <v/>
      </c>
      <c r="H31" s="40">
        <f>H30*in_SubShare</f>
        <v/>
      </c>
      <c r="I31" s="40">
        <f>I30*in_SubShare</f>
        <v/>
      </c>
      <c r="J31" s="40">
        <f>J30*in_SubShare</f>
        <v/>
      </c>
      <c r="K31" s="40">
        <f>K30*in_SubShare</f>
        <v/>
      </c>
      <c r="L31" s="40">
        <f>L30*in_SubShare</f>
        <v/>
      </c>
      <c r="M31" s="40">
        <f>M30*in_SubShare</f>
        <v/>
      </c>
      <c r="N31" s="40">
        <f>N30*in_SubShare</f>
        <v/>
      </c>
      <c r="O31" s="40">
        <f>O30*in_SubShare</f>
        <v/>
      </c>
      <c r="P31" s="40">
        <f>P30*in_SubShare</f>
        <v/>
      </c>
      <c r="Q31" s="40">
        <f>Q30*in_SubShare</f>
        <v/>
      </c>
      <c r="R31" s="41">
        <f>SUM(C31:Q31)</f>
        <v/>
      </c>
    </row>
    <row r="32">
      <c r="A32" s="10" t="inlineStr">
        <is>
          <t>Active subscribers, end of month (= subscription orders)</t>
        </is>
      </c>
      <c r="B32" s="6" t="inlineStr">
        <is>
          <t>1 pouch/month each</t>
        </is>
      </c>
      <c r="C32" s="40">
        <f>C31</f>
        <v/>
      </c>
      <c r="D32" s="40">
        <f>C32*(1-in_SubChurn)+D31</f>
        <v/>
      </c>
      <c r="E32" s="40">
        <f>D32*(1-in_SubChurn)+E31</f>
        <v/>
      </c>
      <c r="F32" s="40">
        <f>E32*(1-in_SubChurn)+F31</f>
        <v/>
      </c>
      <c r="G32" s="40">
        <f>F32*(1-in_SubChurn)+G31</f>
        <v/>
      </c>
      <c r="H32" s="40">
        <f>G32*(1-in_SubChurn)+H31</f>
        <v/>
      </c>
      <c r="I32" s="40">
        <f>H32*(1-in_SubChurn)+I31</f>
        <v/>
      </c>
      <c r="J32" s="40">
        <f>I32*(1-in_SubChurn)+J31</f>
        <v/>
      </c>
      <c r="K32" s="40">
        <f>J32*(1-in_SubChurn)+K31</f>
        <v/>
      </c>
      <c r="L32" s="40">
        <f>K32*(1-in_SubChurn)+L31</f>
        <v/>
      </c>
      <c r="M32" s="40">
        <f>L32*(1-in_SubChurn)+M31</f>
        <v/>
      </c>
      <c r="N32" s="40">
        <f>M32*(1-in_SubChurn)+N31</f>
        <v/>
      </c>
      <c r="O32" s="40">
        <f>N32*(1-in_SubChurn)+O31</f>
        <v/>
      </c>
      <c r="P32" s="40">
        <f>O32*(1-in_SubChurn)+P31</f>
        <v/>
      </c>
      <c r="Q32" s="40">
        <f>P32*(1-in_SubChurn)+Q31</f>
        <v/>
      </c>
    </row>
    <row r="33">
      <c r="A33" s="10" t="inlineStr">
        <is>
          <t>One-off first orders</t>
        </is>
      </c>
      <c r="C33" s="40">
        <f>C30*(1-in_SubShare)</f>
        <v/>
      </c>
      <c r="D33" s="40">
        <f>D30*(1-in_SubShare)</f>
        <v/>
      </c>
      <c r="E33" s="40">
        <f>E30*(1-in_SubShare)</f>
        <v/>
      </c>
      <c r="F33" s="40">
        <f>F30*(1-in_SubShare)</f>
        <v/>
      </c>
      <c r="G33" s="40">
        <f>G30*(1-in_SubShare)</f>
        <v/>
      </c>
      <c r="H33" s="40">
        <f>H30*(1-in_SubShare)</f>
        <v/>
      </c>
      <c r="I33" s="40">
        <f>I30*(1-in_SubShare)</f>
        <v/>
      </c>
      <c r="J33" s="40">
        <f>J30*(1-in_SubShare)</f>
        <v/>
      </c>
      <c r="K33" s="40">
        <f>K30*(1-in_SubShare)</f>
        <v/>
      </c>
      <c r="L33" s="40">
        <f>L30*(1-in_SubShare)</f>
        <v/>
      </c>
      <c r="M33" s="40">
        <f>M30*(1-in_SubShare)</f>
        <v/>
      </c>
      <c r="N33" s="40">
        <f>N30*(1-in_SubShare)</f>
        <v/>
      </c>
      <c r="O33" s="40">
        <f>O30*(1-in_SubShare)</f>
        <v/>
      </c>
      <c r="P33" s="40">
        <f>P30*(1-in_SubShare)</f>
        <v/>
      </c>
      <c r="Q33" s="40">
        <f>Q30*(1-in_SubShare)</f>
        <v/>
      </c>
      <c r="R33" s="41">
        <f>SUM(C33:Q33)</f>
        <v/>
      </c>
    </row>
    <row r="34">
      <c r="A34" s="10" t="inlineStr">
        <is>
          <t>One-off repeat orders</t>
        </is>
      </c>
      <c r="C34" s="40">
        <f>0</f>
        <v/>
      </c>
      <c r="D34" s="40">
        <f>C35*in_Repeat</f>
        <v/>
      </c>
      <c r="E34" s="40">
        <f>D35*in_Repeat</f>
        <v/>
      </c>
      <c r="F34" s="40">
        <f>E35*in_Repeat</f>
        <v/>
      </c>
      <c r="G34" s="40">
        <f>F35*in_Repeat</f>
        <v/>
      </c>
      <c r="H34" s="40">
        <f>G35*in_Repeat</f>
        <v/>
      </c>
      <c r="I34" s="40">
        <f>H35*in_Repeat</f>
        <v/>
      </c>
      <c r="J34" s="40">
        <f>I35*in_Repeat</f>
        <v/>
      </c>
      <c r="K34" s="40">
        <f>J35*in_Repeat</f>
        <v/>
      </c>
      <c r="L34" s="40">
        <f>K35*in_Repeat</f>
        <v/>
      </c>
      <c r="M34" s="40">
        <f>L35*in_Repeat</f>
        <v/>
      </c>
      <c r="N34" s="40">
        <f>M35*in_Repeat</f>
        <v/>
      </c>
      <c r="O34" s="40">
        <f>N35*in_Repeat</f>
        <v/>
      </c>
      <c r="P34" s="40">
        <f>O35*in_Repeat</f>
        <v/>
      </c>
      <c r="Q34" s="40">
        <f>P35*in_Repeat</f>
        <v/>
      </c>
      <c r="R34" s="41">
        <f>SUM(C34:Q34)</f>
        <v/>
      </c>
    </row>
    <row r="35">
      <c r="A35" s="26" t="inlineStr">
        <is>
          <t>Total one-off pouch orders</t>
        </is>
      </c>
      <c r="C35" s="42">
        <f>C33+C34</f>
        <v/>
      </c>
      <c r="D35" s="42">
        <f>D33+D34</f>
        <v/>
      </c>
      <c r="E35" s="42">
        <f>E33+E34</f>
        <v/>
      </c>
      <c r="F35" s="42">
        <f>F33+F34</f>
        <v/>
      </c>
      <c r="G35" s="42">
        <f>G33+G34</f>
        <v/>
      </c>
      <c r="H35" s="42">
        <f>H33+H34</f>
        <v/>
      </c>
      <c r="I35" s="42">
        <f>I33+I34</f>
        <v/>
      </c>
      <c r="J35" s="42">
        <f>J33+J34</f>
        <v/>
      </c>
      <c r="K35" s="42">
        <f>K33+K34</f>
        <v/>
      </c>
      <c r="L35" s="42">
        <f>L33+L34</f>
        <v/>
      </c>
      <c r="M35" s="42">
        <f>M33+M34</f>
        <v/>
      </c>
      <c r="N35" s="42">
        <f>N33+N34</f>
        <v/>
      </c>
      <c r="O35" s="42">
        <f>O33+O34</f>
        <v/>
      </c>
      <c r="P35" s="42">
        <f>P33+P34</f>
        <v/>
      </c>
      <c r="Q35" s="42">
        <f>Q33+Q34</f>
        <v/>
      </c>
      <c r="R35" s="41">
        <f>SUM(C35:Q35)</f>
        <v/>
      </c>
    </row>
    <row r="36">
      <c r="A36" s="26" t="inlineStr">
        <is>
          <t>Total DTC pouch orders (one-off + subscription)</t>
        </is>
      </c>
      <c r="C36" s="42">
        <f>C35+C32</f>
        <v/>
      </c>
      <c r="D36" s="42">
        <f>D35+D32</f>
        <v/>
      </c>
      <c r="E36" s="42">
        <f>E35+E32</f>
        <v/>
      </c>
      <c r="F36" s="42">
        <f>F35+F32</f>
        <v/>
      </c>
      <c r="G36" s="42">
        <f>G35+G32</f>
        <v/>
      </c>
      <c r="H36" s="42">
        <f>H35+H32</f>
        <v/>
      </c>
      <c r="I36" s="42">
        <f>I35+I32</f>
        <v/>
      </c>
      <c r="J36" s="42">
        <f>J35+J32</f>
        <v/>
      </c>
      <c r="K36" s="42">
        <f>K35+K32</f>
        <v/>
      </c>
      <c r="L36" s="42">
        <f>L35+L32</f>
        <v/>
      </c>
      <c r="M36" s="42">
        <f>M35+M32</f>
        <v/>
      </c>
      <c r="N36" s="42">
        <f>N35+N32</f>
        <v/>
      </c>
      <c r="O36" s="42">
        <f>O35+O32</f>
        <v/>
      </c>
      <c r="P36" s="42">
        <f>P35+P32</f>
        <v/>
      </c>
      <c r="Q36" s="42">
        <f>Q35+Q32</f>
        <v/>
      </c>
      <c r="R36" s="41">
        <f>SUM(C36:Q36)</f>
        <v/>
      </c>
    </row>
    <row r="37">
      <c r="A37" s="10" t="inlineStr">
        <is>
          <t>DTC stick-box orders</t>
        </is>
      </c>
      <c r="C37" s="40">
        <f>C36*in_StickAttach</f>
        <v/>
      </c>
      <c r="D37" s="40">
        <f>D36*in_StickAttach</f>
        <v/>
      </c>
      <c r="E37" s="40">
        <f>E36*in_StickAttach</f>
        <v/>
      </c>
      <c r="F37" s="40">
        <f>F36*in_StickAttach</f>
        <v/>
      </c>
      <c r="G37" s="40">
        <f>G36*in_StickAttach</f>
        <v/>
      </c>
      <c r="H37" s="40">
        <f>H36*in_StickAttach</f>
        <v/>
      </c>
      <c r="I37" s="40">
        <f>I36*in_StickAttach</f>
        <v/>
      </c>
      <c r="J37" s="40">
        <f>J36*in_StickAttach</f>
        <v/>
      </c>
      <c r="K37" s="40">
        <f>K36*in_StickAttach</f>
        <v/>
      </c>
      <c r="L37" s="40">
        <f>L36*in_StickAttach</f>
        <v/>
      </c>
      <c r="M37" s="40">
        <f>M36*in_StickAttach</f>
        <v/>
      </c>
      <c r="N37" s="40">
        <f>N36*in_StickAttach</f>
        <v/>
      </c>
      <c r="O37" s="40">
        <f>O36*in_StickAttach</f>
        <v/>
      </c>
      <c r="P37" s="40">
        <f>P36*in_StickAttach</f>
        <v/>
      </c>
      <c r="Q37" s="40">
        <f>Q36*in_StickAttach</f>
        <v/>
      </c>
      <c r="R37" s="41">
        <f>SUM(C37:Q37)</f>
        <v/>
      </c>
    </row>
    <row r="39">
      <c r="A39" s="7" t="inlineStr">
        <is>
          <t>Wholesale (direct to stores)</t>
        </is>
      </c>
      <c r="B39" s="8" t="n"/>
      <c r="C39" s="8" t="n"/>
      <c r="D39" s="8" t="n"/>
      <c r="E39" s="8" t="n"/>
      <c r="F39" s="8" t="n"/>
      <c r="G39" s="8" t="n"/>
      <c r="H39" s="8" t="n"/>
      <c r="I39" s="8" t="n"/>
      <c r="J39" s="8" t="n"/>
      <c r="K39" s="8" t="n"/>
      <c r="L39" s="8" t="n"/>
      <c r="M39" s="8" t="n"/>
      <c r="N39" s="8" t="n"/>
      <c r="O39" s="8" t="n"/>
      <c r="P39" s="8" t="n"/>
      <c r="Q39" s="8" t="n"/>
      <c r="R39" s="8" t="n"/>
    </row>
    <row r="40">
      <c r="A40" s="10" t="inlineStr">
        <is>
          <t>New store accounts</t>
        </is>
      </c>
      <c r="C40" s="40">
        <f>IFERROR(INDEX(Inputs!$D$98:$D$107,MATCH(C$23,Inputs!$A$98:$A$107,0)),0)*$B$4*C24</f>
        <v/>
      </c>
      <c r="D40" s="40">
        <f>IFERROR(INDEX(Inputs!$D$98:$D$107,MATCH(D$23,Inputs!$A$98:$A$107,0)),0)*$B$4*D24</f>
        <v/>
      </c>
      <c r="E40" s="40">
        <f>IFERROR(INDEX(Inputs!$D$98:$D$107,MATCH(E$23,Inputs!$A$98:$A$107,0)),0)*$B$4*E24</f>
        <v/>
      </c>
      <c r="F40" s="40">
        <f>IFERROR(INDEX(Inputs!$D$98:$D$107,MATCH(F$23,Inputs!$A$98:$A$107,0)),0)*$B$4*F24</f>
        <v/>
      </c>
      <c r="G40" s="40">
        <f>IFERROR(INDEX(Inputs!$D$98:$D$107,MATCH(G$23,Inputs!$A$98:$A$107,0)),0)*$B$4*G24</f>
        <v/>
      </c>
      <c r="H40" s="40">
        <f>IFERROR(INDEX(Inputs!$D$98:$D$107,MATCH(H$23,Inputs!$A$98:$A$107,0)),0)*$B$4*H24</f>
        <v/>
      </c>
      <c r="I40" s="40">
        <f>IFERROR(INDEX(Inputs!$D$98:$D$107,MATCH(I$23,Inputs!$A$98:$A$107,0)),0)*$B$4*I24</f>
        <v/>
      </c>
      <c r="J40" s="40">
        <f>IFERROR(INDEX(Inputs!$D$98:$D$107,MATCH(J$23,Inputs!$A$98:$A$107,0)),0)*$B$4*J24</f>
        <v/>
      </c>
      <c r="K40" s="40">
        <f>IFERROR(INDEX(Inputs!$D$98:$D$107,MATCH(K$23,Inputs!$A$98:$A$107,0)),0)*$B$4*K24</f>
        <v/>
      </c>
      <c r="L40" s="40">
        <f>IFERROR(INDEX(Inputs!$D$98:$D$107,MATCH(L$23,Inputs!$A$98:$A$107,0)),0)*$B$4*L24</f>
        <v/>
      </c>
      <c r="M40" s="40">
        <f>IFERROR(INDEX(Inputs!$D$98:$D$107,MATCH(M$23,Inputs!$A$98:$A$107,0)),0)*$B$4*M24</f>
        <v/>
      </c>
      <c r="N40" s="40">
        <f>IFERROR(INDEX(Inputs!$D$98:$D$107,MATCH(N$23,Inputs!$A$98:$A$107,0)),0)*$B$4*N24</f>
        <v/>
      </c>
      <c r="O40" s="40">
        <f>IFERROR(INDEX(Inputs!$D$98:$D$107,MATCH(O$23,Inputs!$A$98:$A$107,0)),0)*$B$4*O24</f>
        <v/>
      </c>
      <c r="P40" s="40">
        <f>IFERROR(INDEX(Inputs!$D$98:$D$107,MATCH(P$23,Inputs!$A$98:$A$107,0)),0)*$B$4*P24</f>
        <v/>
      </c>
      <c r="Q40" s="40">
        <f>IFERROR(INDEX(Inputs!$D$98:$D$107,MATCH(Q$23,Inputs!$A$98:$A$107,0)),0)*$B$4*Q24</f>
        <v/>
      </c>
      <c r="R40" s="41">
        <f>SUM(C40:Q40)</f>
        <v/>
      </c>
    </row>
    <row r="41">
      <c r="A41" s="10" t="inlineStr">
        <is>
          <t>Active store accounts, end of month</t>
        </is>
      </c>
      <c r="C41" s="40">
        <f>C40</f>
        <v/>
      </c>
      <c r="D41" s="40">
        <f>C41*(1-in_StoreChurn)+D40</f>
        <v/>
      </c>
      <c r="E41" s="40">
        <f>D41*(1-in_StoreChurn)+E40</f>
        <v/>
      </c>
      <c r="F41" s="40">
        <f>E41*(1-in_StoreChurn)+F40</f>
        <v/>
      </c>
      <c r="G41" s="40">
        <f>F41*(1-in_StoreChurn)+G40</f>
        <v/>
      </c>
      <c r="H41" s="40">
        <f>G41*(1-in_StoreChurn)+H40</f>
        <v/>
      </c>
      <c r="I41" s="40">
        <f>H41*(1-in_StoreChurn)+I40</f>
        <v/>
      </c>
      <c r="J41" s="40">
        <f>I41*(1-in_StoreChurn)+J40</f>
        <v/>
      </c>
      <c r="K41" s="40">
        <f>J41*(1-in_StoreChurn)+K40</f>
        <v/>
      </c>
      <c r="L41" s="40">
        <f>K41*(1-in_StoreChurn)+L40</f>
        <v/>
      </c>
      <c r="M41" s="40">
        <f>L41*(1-in_StoreChurn)+M40</f>
        <v/>
      </c>
      <c r="N41" s="40">
        <f>M41*(1-in_StoreChurn)+N40</f>
        <v/>
      </c>
      <c r="O41" s="40">
        <f>N41*(1-in_StoreChurn)+O40</f>
        <v/>
      </c>
      <c r="P41" s="40">
        <f>O41*(1-in_StoreChurn)+P40</f>
        <v/>
      </c>
      <c r="Q41" s="40">
        <f>P41*(1-in_StoreChurn)+Q40</f>
        <v/>
      </c>
    </row>
    <row r="42">
      <c r="A42" s="10" t="inlineStr">
        <is>
          <t>Wholesale pouches shipped</t>
        </is>
      </c>
      <c r="C42" s="40">
        <f>C41*in_PouchPerStore</f>
        <v/>
      </c>
      <c r="D42" s="40">
        <f>D41*in_PouchPerStore</f>
        <v/>
      </c>
      <c r="E42" s="40">
        <f>E41*in_PouchPerStore</f>
        <v/>
      </c>
      <c r="F42" s="40">
        <f>F41*in_PouchPerStore</f>
        <v/>
      </c>
      <c r="G42" s="40">
        <f>G41*in_PouchPerStore</f>
        <v/>
      </c>
      <c r="H42" s="40">
        <f>H41*in_PouchPerStore</f>
        <v/>
      </c>
      <c r="I42" s="40">
        <f>I41*in_PouchPerStore</f>
        <v/>
      </c>
      <c r="J42" s="40">
        <f>J41*in_PouchPerStore</f>
        <v/>
      </c>
      <c r="K42" s="40">
        <f>K41*in_PouchPerStore</f>
        <v/>
      </c>
      <c r="L42" s="40">
        <f>L41*in_PouchPerStore</f>
        <v/>
      </c>
      <c r="M42" s="40">
        <f>M41*in_PouchPerStore</f>
        <v/>
      </c>
      <c r="N42" s="40">
        <f>N41*in_PouchPerStore</f>
        <v/>
      </c>
      <c r="O42" s="40">
        <f>O41*in_PouchPerStore</f>
        <v/>
      </c>
      <c r="P42" s="40">
        <f>P41*in_PouchPerStore</f>
        <v/>
      </c>
      <c r="Q42" s="40">
        <f>Q41*in_PouchPerStore</f>
        <v/>
      </c>
      <c r="R42" s="41">
        <f>SUM(C42:Q42)</f>
        <v/>
      </c>
    </row>
    <row r="43">
      <c r="A43" s="10" t="inlineStr">
        <is>
          <t>Wholesale sticks shipped</t>
        </is>
      </c>
      <c r="C43" s="40">
        <f>C41*in_StickPerStore</f>
        <v/>
      </c>
      <c r="D43" s="40">
        <f>D41*in_StickPerStore</f>
        <v/>
      </c>
      <c r="E43" s="40">
        <f>E41*in_StickPerStore</f>
        <v/>
      </c>
      <c r="F43" s="40">
        <f>F41*in_StickPerStore</f>
        <v/>
      </c>
      <c r="G43" s="40">
        <f>G41*in_StickPerStore</f>
        <v/>
      </c>
      <c r="H43" s="40">
        <f>H41*in_StickPerStore</f>
        <v/>
      </c>
      <c r="I43" s="40">
        <f>I41*in_StickPerStore</f>
        <v/>
      </c>
      <c r="J43" s="40">
        <f>J41*in_StickPerStore</f>
        <v/>
      </c>
      <c r="K43" s="40">
        <f>K41*in_StickPerStore</f>
        <v/>
      </c>
      <c r="L43" s="40">
        <f>L41*in_StickPerStore</f>
        <v/>
      </c>
      <c r="M43" s="40">
        <f>M41*in_StickPerStore</f>
        <v/>
      </c>
      <c r="N43" s="40">
        <f>N41*in_StickPerStore</f>
        <v/>
      </c>
      <c r="O43" s="40">
        <f>O41*in_StickPerStore</f>
        <v/>
      </c>
      <c r="P43" s="40">
        <f>P41*in_StickPerStore</f>
        <v/>
      </c>
      <c r="Q43" s="40">
        <f>Q41*in_StickPerStore</f>
        <v/>
      </c>
      <c r="R43" s="41">
        <f>SUM(C43:Q43)</f>
        <v/>
      </c>
    </row>
    <row r="45">
      <c r="A45" s="7" t="inlineStr">
        <is>
          <t>Pouch inventory (units)</t>
        </is>
      </c>
      <c r="B45" s="8" t="n"/>
      <c r="C45" s="8" t="n"/>
      <c r="D45" s="8" t="n"/>
      <c r="E45" s="8" t="n"/>
      <c r="F45" s="8" t="n"/>
      <c r="G45" s="8" t="n"/>
      <c r="H45" s="8" t="n"/>
      <c r="I45" s="8" t="n"/>
      <c r="J45" s="8" t="n"/>
      <c r="K45" s="8" t="n"/>
      <c r="L45" s="8" t="n"/>
      <c r="M45" s="8" t="n"/>
      <c r="N45" s="8" t="n"/>
      <c r="O45" s="8" t="n"/>
      <c r="P45" s="8" t="n"/>
      <c r="Q45" s="8" t="n"/>
      <c r="R45" s="8" t="n"/>
    </row>
    <row r="46">
      <c r="A46" s="10" t="inlineStr">
        <is>
          <t>Pouch demand</t>
        </is>
      </c>
      <c r="C46" s="43">
        <f>C36*in_PouchPerOrder+C42</f>
        <v/>
      </c>
      <c r="D46" s="43">
        <f>D36*in_PouchPerOrder+D42</f>
        <v/>
      </c>
      <c r="E46" s="43">
        <f>E36*in_PouchPerOrder+E42</f>
        <v/>
      </c>
      <c r="F46" s="43">
        <f>F36*in_PouchPerOrder+F42</f>
        <v/>
      </c>
      <c r="G46" s="43">
        <f>G36*in_PouchPerOrder+G42</f>
        <v/>
      </c>
      <c r="H46" s="43">
        <f>H36*in_PouchPerOrder+H42</f>
        <v/>
      </c>
      <c r="I46" s="43">
        <f>I36*in_PouchPerOrder+I42</f>
        <v/>
      </c>
      <c r="J46" s="43">
        <f>J36*in_PouchPerOrder+J42</f>
        <v/>
      </c>
      <c r="K46" s="43">
        <f>K36*in_PouchPerOrder+K42</f>
        <v/>
      </c>
      <c r="L46" s="43">
        <f>L36*in_PouchPerOrder+L42</f>
        <v/>
      </c>
      <c r="M46" s="43">
        <f>M36*in_PouchPerOrder+M42</f>
        <v/>
      </c>
      <c r="N46" s="43">
        <f>N36*in_PouchPerOrder+N42</f>
        <v/>
      </c>
      <c r="O46" s="43">
        <f>O36*in_PouchPerOrder+O42</f>
        <v/>
      </c>
      <c r="P46" s="43">
        <f>P36*in_PouchPerOrder+P42</f>
        <v/>
      </c>
      <c r="Q46" s="43">
        <f>Q36*in_PouchPerOrder+Q42</f>
        <v/>
      </c>
      <c r="R46" s="44">
        <f>SUM(C46:Q46)</f>
        <v/>
      </c>
    </row>
    <row r="47">
      <c r="A47" s="10" t="inlineStr">
        <is>
          <t>Opening stock</t>
        </is>
      </c>
      <c r="C47" s="43">
        <f>0</f>
        <v/>
      </c>
      <c r="D47" s="43">
        <f>C55</f>
        <v/>
      </c>
      <c r="E47" s="43">
        <f>D55</f>
        <v/>
      </c>
      <c r="F47" s="43">
        <f>E55</f>
        <v/>
      </c>
      <c r="G47" s="43">
        <f>F55</f>
        <v/>
      </c>
      <c r="H47" s="43">
        <f>G55</f>
        <v/>
      </c>
      <c r="I47" s="43">
        <f>H55</f>
        <v/>
      </c>
      <c r="J47" s="43">
        <f>I55</f>
        <v/>
      </c>
      <c r="K47" s="43">
        <f>J55</f>
        <v/>
      </c>
      <c r="L47" s="43">
        <f>K55</f>
        <v/>
      </c>
      <c r="M47" s="43">
        <f>L55</f>
        <v/>
      </c>
      <c r="N47" s="43">
        <f>M55</f>
        <v/>
      </c>
      <c r="O47" s="43">
        <f>N55</f>
        <v/>
      </c>
      <c r="P47" s="43">
        <f>O55</f>
        <v/>
      </c>
      <c r="Q47" s="43">
        <f>P55</f>
        <v/>
      </c>
    </row>
    <row r="48">
      <c r="A48" s="10" t="inlineStr">
        <is>
          <t>First run received</t>
        </is>
      </c>
      <c r="C48" s="43">
        <f>IF(EOMONTH(in_FirstShip,0)=EOMONTH(C$23,0),$B$8,0)</f>
        <v/>
      </c>
      <c r="D48" s="43">
        <f>IF(EOMONTH(in_FirstShip,0)=EOMONTH(D$23,0),$B$8,0)</f>
        <v/>
      </c>
      <c r="E48" s="43">
        <f>IF(EOMONTH(in_FirstShip,0)=EOMONTH(E$23,0),$B$8,0)</f>
        <v/>
      </c>
      <c r="F48" s="43">
        <f>IF(EOMONTH(in_FirstShip,0)=EOMONTH(F$23,0),$B$8,0)</f>
        <v/>
      </c>
      <c r="G48" s="43">
        <f>IF(EOMONTH(in_FirstShip,0)=EOMONTH(G$23,0),$B$8,0)</f>
        <v/>
      </c>
      <c r="H48" s="43">
        <f>IF(EOMONTH(in_FirstShip,0)=EOMONTH(H$23,0),$B$8,0)</f>
        <v/>
      </c>
      <c r="I48" s="43">
        <f>IF(EOMONTH(in_FirstShip,0)=EOMONTH(I$23,0),$B$8,0)</f>
        <v/>
      </c>
      <c r="J48" s="43">
        <f>IF(EOMONTH(in_FirstShip,0)=EOMONTH(J$23,0),$B$8,0)</f>
        <v/>
      </c>
      <c r="K48" s="43">
        <f>IF(EOMONTH(in_FirstShip,0)=EOMONTH(K$23,0),$B$8,0)</f>
        <v/>
      </c>
      <c r="L48" s="43">
        <f>IF(EOMONTH(in_FirstShip,0)=EOMONTH(L$23,0),$B$8,0)</f>
        <v/>
      </c>
      <c r="M48" s="43">
        <f>IF(EOMONTH(in_FirstShip,0)=EOMONTH(M$23,0),$B$8,0)</f>
        <v/>
      </c>
      <c r="N48" s="43">
        <f>IF(EOMONTH(in_FirstShip,0)=EOMONTH(N$23,0),$B$8,0)</f>
        <v/>
      </c>
      <c r="O48" s="43">
        <f>IF(EOMONTH(in_FirstShip,0)=EOMONTH(O$23,0),$B$8,0)</f>
        <v/>
      </c>
      <c r="P48" s="43">
        <f>IF(EOMONTH(in_FirstShip,0)=EOMONTH(P$23,0),$B$8,0)</f>
        <v/>
      </c>
      <c r="Q48" s="43">
        <f>IF(EOMONTH(in_FirstShip,0)=EOMONTH(Q$23,0),$B$8,0)</f>
        <v/>
      </c>
      <c r="R48" s="44">
        <f>SUM(C48:Q48)</f>
        <v/>
      </c>
    </row>
    <row r="49">
      <c r="A49" s="10" t="inlineStr">
        <is>
          <t>Second flavour first run received</t>
        </is>
      </c>
      <c r="C49" s="43">
        <f>IF(AND(in_Flavor2On=1,EOMONTH(in_Flavor2Run,0)=EOMONTH(C$23,0)),$B$8,0)</f>
        <v/>
      </c>
      <c r="D49" s="43">
        <f>IF(AND(in_Flavor2On=1,EOMONTH(in_Flavor2Run,0)=EOMONTH(D$23,0)),$B$8,0)</f>
        <v/>
      </c>
      <c r="E49" s="43">
        <f>IF(AND(in_Flavor2On=1,EOMONTH(in_Flavor2Run,0)=EOMONTH(E$23,0)),$B$8,0)</f>
        <v/>
      </c>
      <c r="F49" s="43">
        <f>IF(AND(in_Flavor2On=1,EOMONTH(in_Flavor2Run,0)=EOMONTH(F$23,0)),$B$8,0)</f>
        <v/>
      </c>
      <c r="G49" s="43">
        <f>IF(AND(in_Flavor2On=1,EOMONTH(in_Flavor2Run,0)=EOMONTH(G$23,0)),$B$8,0)</f>
        <v/>
      </c>
      <c r="H49" s="43">
        <f>IF(AND(in_Flavor2On=1,EOMONTH(in_Flavor2Run,0)=EOMONTH(H$23,0)),$B$8,0)</f>
        <v/>
      </c>
      <c r="I49" s="43">
        <f>IF(AND(in_Flavor2On=1,EOMONTH(in_Flavor2Run,0)=EOMONTH(I$23,0)),$B$8,0)</f>
        <v/>
      </c>
      <c r="J49" s="43">
        <f>IF(AND(in_Flavor2On=1,EOMONTH(in_Flavor2Run,0)=EOMONTH(J$23,0)),$B$8,0)</f>
        <v/>
      </c>
      <c r="K49" s="43">
        <f>IF(AND(in_Flavor2On=1,EOMONTH(in_Flavor2Run,0)=EOMONTH(K$23,0)),$B$8,0)</f>
        <v/>
      </c>
      <c r="L49" s="43">
        <f>IF(AND(in_Flavor2On=1,EOMONTH(in_Flavor2Run,0)=EOMONTH(L$23,0)),$B$8,0)</f>
        <v/>
      </c>
      <c r="M49" s="43">
        <f>IF(AND(in_Flavor2On=1,EOMONTH(in_Flavor2Run,0)=EOMONTH(M$23,0)),$B$8,0)</f>
        <v/>
      </c>
      <c r="N49" s="43">
        <f>IF(AND(in_Flavor2On=1,EOMONTH(in_Flavor2Run,0)=EOMONTH(N$23,0)),$B$8,0)</f>
        <v/>
      </c>
      <c r="O49" s="43">
        <f>IF(AND(in_Flavor2On=1,EOMONTH(in_Flavor2Run,0)=EOMONTH(O$23,0)),$B$8,0)</f>
        <v/>
      </c>
      <c r="P49" s="43">
        <f>IF(AND(in_Flavor2On=1,EOMONTH(in_Flavor2Run,0)=EOMONTH(P$23,0)),$B$8,0)</f>
        <v/>
      </c>
      <c r="Q49" s="43">
        <f>IF(AND(in_Flavor2On=1,EOMONTH(in_Flavor2Run,0)=EOMONTH(Q$23,0)),$B$8,0)</f>
        <v/>
      </c>
      <c r="R49" s="44">
        <f>SUM(C49:Q49)</f>
        <v/>
      </c>
    </row>
    <row r="50">
      <c r="A50" s="10" t="inlineStr">
        <is>
          <t>Reorders received (placed lead-time months earlier)</t>
        </is>
      </c>
      <c r="B50" s="6" t="inlineStr">
        <is>
          <t>Lead-time input</t>
        </is>
      </c>
      <c r="C50" s="43">
        <f>IF(in_Lead=1,0,IF(in_Lead=2,0,IF(in_Lead=3,0,0)))</f>
        <v/>
      </c>
      <c r="D50" s="43">
        <f>IF(in_Lead=1,C52,IF(in_Lead=2,0,IF(in_Lead=3,0,0)))</f>
        <v/>
      </c>
      <c r="E50" s="43">
        <f>IF(in_Lead=1,D52,IF(in_Lead=2,C52,IF(in_Lead=3,0,0)))</f>
        <v/>
      </c>
      <c r="F50" s="43">
        <f>IF(in_Lead=1,E52,IF(in_Lead=2,D52,IF(in_Lead=3,C52,0)))</f>
        <v/>
      </c>
      <c r="G50" s="43">
        <f>IF(in_Lead=1,F52,IF(in_Lead=2,E52,IF(in_Lead=3,D52,0)))</f>
        <v/>
      </c>
      <c r="H50" s="43">
        <f>IF(in_Lead=1,G52,IF(in_Lead=2,F52,IF(in_Lead=3,E52,0)))</f>
        <v/>
      </c>
      <c r="I50" s="43">
        <f>IF(in_Lead=1,H52,IF(in_Lead=2,G52,IF(in_Lead=3,F52,0)))</f>
        <v/>
      </c>
      <c r="J50" s="43">
        <f>IF(in_Lead=1,I52,IF(in_Lead=2,H52,IF(in_Lead=3,G52,0)))</f>
        <v/>
      </c>
      <c r="K50" s="43">
        <f>IF(in_Lead=1,J52,IF(in_Lead=2,I52,IF(in_Lead=3,H52,0)))</f>
        <v/>
      </c>
      <c r="L50" s="43">
        <f>IF(in_Lead=1,K52,IF(in_Lead=2,J52,IF(in_Lead=3,I52,0)))</f>
        <v/>
      </c>
      <c r="M50" s="43">
        <f>IF(in_Lead=1,L52,IF(in_Lead=2,K52,IF(in_Lead=3,J52,0)))</f>
        <v/>
      </c>
      <c r="N50" s="43">
        <f>IF(in_Lead=1,M52,IF(in_Lead=2,L52,IF(in_Lead=3,K52,0)))</f>
        <v/>
      </c>
      <c r="O50" s="43">
        <f>IF(in_Lead=1,N52,IF(in_Lead=2,M52,IF(in_Lead=3,L52,0)))</f>
        <v/>
      </c>
      <c r="P50" s="43">
        <f>IF(in_Lead=1,O52,IF(in_Lead=2,N52,IF(in_Lead=3,M52,0)))</f>
        <v/>
      </c>
      <c r="Q50" s="43">
        <f>IF(in_Lead=1,P52,IF(in_Lead=2,O52,IF(in_Lead=3,N52,0)))</f>
        <v/>
      </c>
      <c r="R50" s="44">
        <f>SUM(C50:Q50)</f>
        <v/>
      </c>
    </row>
    <row r="51">
      <c r="A51" s="10" t="inlineStr">
        <is>
          <t>On order, still in transit after this month</t>
        </is>
      </c>
      <c r="C51" s="43">
        <f>IF(in_Lead&gt;=2,0,0)+IF(in_Lead&gt;=3,0,0)</f>
        <v/>
      </c>
      <c r="D51" s="43">
        <f>IF(in_Lead&gt;=2,C52,0)+IF(in_Lead&gt;=3,0,0)</f>
        <v/>
      </c>
      <c r="E51" s="43">
        <f>IF(in_Lead&gt;=2,D52,0)+IF(in_Lead&gt;=3,C52,0)</f>
        <v/>
      </c>
      <c r="F51" s="43">
        <f>IF(in_Lead&gt;=2,E52,0)+IF(in_Lead&gt;=3,D52,0)</f>
        <v/>
      </c>
      <c r="G51" s="43">
        <f>IF(in_Lead&gt;=2,F52,0)+IF(in_Lead&gt;=3,E52,0)</f>
        <v/>
      </c>
      <c r="H51" s="43">
        <f>IF(in_Lead&gt;=2,G52,0)+IF(in_Lead&gt;=3,F52,0)</f>
        <v/>
      </c>
      <c r="I51" s="43">
        <f>IF(in_Lead&gt;=2,H52,0)+IF(in_Lead&gt;=3,G52,0)</f>
        <v/>
      </c>
      <c r="J51" s="43">
        <f>IF(in_Lead&gt;=2,I52,0)+IF(in_Lead&gt;=3,H52,0)</f>
        <v/>
      </c>
      <c r="K51" s="43">
        <f>IF(in_Lead&gt;=2,J52,0)+IF(in_Lead&gt;=3,I52,0)</f>
        <v/>
      </c>
      <c r="L51" s="43">
        <f>IF(in_Lead&gt;=2,K52,0)+IF(in_Lead&gt;=3,J52,0)</f>
        <v/>
      </c>
      <c r="M51" s="43">
        <f>IF(in_Lead&gt;=2,L52,0)+IF(in_Lead&gt;=3,K52,0)</f>
        <v/>
      </c>
      <c r="N51" s="43">
        <f>IF(in_Lead&gt;=2,M52,0)+IF(in_Lead&gt;=3,L52,0)</f>
        <v/>
      </c>
      <c r="O51" s="43">
        <f>IF(in_Lead&gt;=2,N52,0)+IF(in_Lead&gt;=3,M52,0)</f>
        <v/>
      </c>
      <c r="P51" s="43">
        <f>IF(in_Lead&gt;=2,O52,0)+IF(in_Lead&gt;=3,N52,0)</f>
        <v/>
      </c>
      <c r="Q51" s="43">
        <f>IF(in_Lead&gt;=2,P52,0)+IF(in_Lead&gt;=3,O52,0)</f>
        <v/>
      </c>
    </row>
    <row r="52">
      <c r="A52" s="10" t="inlineStr">
        <is>
          <t>Reorder placed and paid (stock + on order below reorder point)</t>
        </is>
      </c>
      <c r="B52" s="6" t="inlineStr">
        <is>
          <t>Paid when placed</t>
        </is>
      </c>
      <c r="C52" s="43">
        <f>IF(C24=1,IF(C47+C48+C49+C50+C51&lt;C46*in_Cover,ROUNDUP((C46*in_Cover-(C47+C48+C49+C50+C51))/$B$8,0)*$B$8,0),0)</f>
        <v/>
      </c>
      <c r="D52" s="43">
        <f>IF(D24=1,IF(D47+D48+D49+D50+D51&lt;D46*in_Cover,ROUNDUP((D46*in_Cover-(D47+D48+D49+D50+D51))/$B$8,0)*$B$8,0),0)</f>
        <v/>
      </c>
      <c r="E52" s="43">
        <f>IF(E24=1,IF(E47+E48+E49+E50+E51&lt;E46*in_Cover,ROUNDUP((E46*in_Cover-(E47+E48+E49+E50+E51))/$B$8,0)*$B$8,0),0)</f>
        <v/>
      </c>
      <c r="F52" s="43">
        <f>IF(F24=1,IF(F47+F48+F49+F50+F51&lt;F46*in_Cover,ROUNDUP((F46*in_Cover-(F47+F48+F49+F50+F51))/$B$8,0)*$B$8,0),0)</f>
        <v/>
      </c>
      <c r="G52" s="43">
        <f>IF(G24=1,IF(G47+G48+G49+G50+G51&lt;G46*in_Cover,ROUNDUP((G46*in_Cover-(G47+G48+G49+G50+G51))/$B$8,0)*$B$8,0),0)</f>
        <v/>
      </c>
      <c r="H52" s="43">
        <f>IF(H24=1,IF(H47+H48+H49+H50+H51&lt;H46*in_Cover,ROUNDUP((H46*in_Cover-(H47+H48+H49+H50+H51))/$B$8,0)*$B$8,0),0)</f>
        <v/>
      </c>
      <c r="I52" s="43">
        <f>IF(I24=1,IF(I47+I48+I49+I50+I51&lt;I46*in_Cover,ROUNDUP((I46*in_Cover-(I47+I48+I49+I50+I51))/$B$8,0)*$B$8,0),0)</f>
        <v/>
      </c>
      <c r="J52" s="43">
        <f>IF(J24=1,IF(J47+J48+J49+J50+J51&lt;J46*in_Cover,ROUNDUP((J46*in_Cover-(J47+J48+J49+J50+J51))/$B$8,0)*$B$8,0),0)</f>
        <v/>
      </c>
      <c r="K52" s="43">
        <f>IF(K24=1,IF(K47+K48+K49+K50+K51&lt;K46*in_Cover,ROUNDUP((K46*in_Cover-(K47+K48+K49+K50+K51))/$B$8,0)*$B$8,0),0)</f>
        <v/>
      </c>
      <c r="L52" s="43">
        <f>IF(L24=1,IF(L47+L48+L49+L50+L51&lt;L46*in_Cover,ROUNDUP((L46*in_Cover-(L47+L48+L49+L50+L51))/$B$8,0)*$B$8,0),0)</f>
        <v/>
      </c>
      <c r="M52" s="43">
        <f>IF(M24=1,IF(M47+M48+M49+M50+M51&lt;M46*in_Cover,ROUNDUP((M46*in_Cover-(M47+M48+M49+M50+M51))/$B$8,0)*$B$8,0),0)</f>
        <v/>
      </c>
      <c r="N52" s="43">
        <f>IF(N24=1,IF(N47+N48+N49+N50+N51&lt;N46*in_Cover,ROUNDUP((N46*in_Cover-(N47+N48+N49+N50+N51))/$B$8,0)*$B$8,0),0)</f>
        <v/>
      </c>
      <c r="O52" s="43">
        <f>IF(O24=1,IF(O47+O48+O49+O50+O51&lt;O46*in_Cover,ROUNDUP((O46*in_Cover-(O47+O48+O49+O50+O51))/$B$8,0)*$B$8,0),0)</f>
        <v/>
      </c>
      <c r="P52" s="43">
        <f>IF(P24=1,IF(P47+P48+P49+P50+P51&lt;P46*in_Cover,ROUNDUP((P46*in_Cover-(P47+P48+P49+P50+P51))/$B$8,0)*$B$8,0),0)</f>
        <v/>
      </c>
      <c r="Q52" s="43">
        <f>IF(Q24=1,IF(Q47+Q48+Q49+Q50+Q51&lt;Q46*in_Cover,ROUNDUP((Q46*in_Cover-(Q47+Q48+Q49+Q50+Q51))/$B$8,0)*$B$8,0),0)</f>
        <v/>
      </c>
      <c r="R52" s="44">
        <f>SUM(C52:Q52)</f>
        <v/>
      </c>
    </row>
    <row r="53">
      <c r="A53" s="10" t="inlineStr">
        <is>
          <t>Pouches sold</t>
        </is>
      </c>
      <c r="C53" s="43">
        <f>MIN(C46,C47+C48+C49+C50)</f>
        <v/>
      </c>
      <c r="D53" s="43">
        <f>MIN(D46,D47+D48+D49+D50)</f>
        <v/>
      </c>
      <c r="E53" s="43">
        <f>MIN(E46,E47+E48+E49+E50)</f>
        <v/>
      </c>
      <c r="F53" s="43">
        <f>MIN(F46,F47+F48+F49+F50)</f>
        <v/>
      </c>
      <c r="G53" s="43">
        <f>MIN(G46,G47+G48+G49+G50)</f>
        <v/>
      </c>
      <c r="H53" s="43">
        <f>MIN(H46,H47+H48+H49+H50)</f>
        <v/>
      </c>
      <c r="I53" s="43">
        <f>MIN(I46,I47+I48+I49+I50)</f>
        <v/>
      </c>
      <c r="J53" s="43">
        <f>MIN(J46,J47+J48+J49+J50)</f>
        <v/>
      </c>
      <c r="K53" s="43">
        <f>MIN(K46,K47+K48+K49+K50)</f>
        <v/>
      </c>
      <c r="L53" s="43">
        <f>MIN(L46,L47+L48+L49+L50)</f>
        <v/>
      </c>
      <c r="M53" s="43">
        <f>MIN(M46,M47+M48+M49+M50)</f>
        <v/>
      </c>
      <c r="N53" s="43">
        <f>MIN(N46,N47+N48+N49+N50)</f>
        <v/>
      </c>
      <c r="O53" s="43">
        <f>MIN(O46,O47+O48+O49+O50)</f>
        <v/>
      </c>
      <c r="P53" s="43">
        <f>MIN(P46,P47+P48+P49+P50)</f>
        <v/>
      </c>
      <c r="Q53" s="43">
        <f>MIN(Q46,Q47+Q48+Q49+Q50)</f>
        <v/>
      </c>
      <c r="R53" s="44">
        <f>SUM(C53:Q53)</f>
        <v/>
      </c>
    </row>
    <row r="54">
      <c r="A54" s="10" t="inlineStr">
        <is>
          <t>Pouch shortfall (check: should be 0)</t>
        </is>
      </c>
      <c r="B54" s="6" t="inlineStr">
        <is>
          <t>Must stay 0</t>
        </is>
      </c>
      <c r="C54" s="43">
        <f>C46-C53</f>
        <v/>
      </c>
      <c r="D54" s="43">
        <f>D46-D53</f>
        <v/>
      </c>
      <c r="E54" s="43">
        <f>E46-E53</f>
        <v/>
      </c>
      <c r="F54" s="43">
        <f>F46-F53</f>
        <v/>
      </c>
      <c r="G54" s="43">
        <f>G46-G53</f>
        <v/>
      </c>
      <c r="H54" s="43">
        <f>H46-H53</f>
        <v/>
      </c>
      <c r="I54" s="43">
        <f>I46-I53</f>
        <v/>
      </c>
      <c r="J54" s="43">
        <f>J46-J53</f>
        <v/>
      </c>
      <c r="K54" s="43">
        <f>K46-K53</f>
        <v/>
      </c>
      <c r="L54" s="43">
        <f>L46-L53</f>
        <v/>
      </c>
      <c r="M54" s="43">
        <f>M46-M53</f>
        <v/>
      </c>
      <c r="N54" s="43">
        <f>N46-N53</f>
        <v/>
      </c>
      <c r="O54" s="43">
        <f>O46-O53</f>
        <v/>
      </c>
      <c r="P54" s="43">
        <f>P46-P53</f>
        <v/>
      </c>
      <c r="Q54" s="43">
        <f>Q46-Q53</f>
        <v/>
      </c>
      <c r="R54" s="44">
        <f>SUM(C54:Q54)</f>
        <v/>
      </c>
    </row>
    <row r="55">
      <c r="A55" s="10" t="inlineStr">
        <is>
          <t>Closing stock</t>
        </is>
      </c>
      <c r="C55" s="43">
        <f>C47+C48+C49+C50-C53</f>
        <v/>
      </c>
      <c r="D55" s="43">
        <f>D47+D48+D49+D50-D53</f>
        <v/>
      </c>
      <c r="E55" s="43">
        <f>E47+E48+E49+E50-E53</f>
        <v/>
      </c>
      <c r="F55" s="43">
        <f>F47+F48+F49+F50-F53</f>
        <v/>
      </c>
      <c r="G55" s="43">
        <f>G47+G48+G49+G50-G53</f>
        <v/>
      </c>
      <c r="H55" s="43">
        <f>H47+H48+H49+H50-H53</f>
        <v/>
      </c>
      <c r="I55" s="43">
        <f>I47+I48+I49+I50-I53</f>
        <v/>
      </c>
      <c r="J55" s="43">
        <f>J47+J48+J49+J50-J53</f>
        <v/>
      </c>
      <c r="K55" s="43">
        <f>K47+K48+K49+K50-K53</f>
        <v/>
      </c>
      <c r="L55" s="43">
        <f>L47+L48+L49+L50-L53</f>
        <v/>
      </c>
      <c r="M55" s="43">
        <f>M47+M48+M49+M50-M53</f>
        <v/>
      </c>
      <c r="N55" s="43">
        <f>N47+N48+N49+N50-N53</f>
        <v/>
      </c>
      <c r="O55" s="43">
        <f>O47+O48+O49+O50-O53</f>
        <v/>
      </c>
      <c r="P55" s="43">
        <f>P47+P48+P49+P50-P53</f>
        <v/>
      </c>
      <c r="Q55" s="43">
        <f>Q47+Q48+Q49+Q50-Q53</f>
        <v/>
      </c>
    </row>
    <row r="57">
      <c r="A57" s="7" t="inlineStr">
        <is>
          <t>Protein stick inventory (units)</t>
        </is>
      </c>
      <c r="B57" s="8" t="n"/>
      <c r="C57" s="8" t="n"/>
      <c r="D57" s="8" t="n"/>
      <c r="E57" s="8" t="n"/>
      <c r="F57" s="8" t="n"/>
      <c r="G57" s="8" t="n"/>
      <c r="H57" s="8" t="n"/>
      <c r="I57" s="8" t="n"/>
      <c r="J57" s="8" t="n"/>
      <c r="K57" s="8" t="n"/>
      <c r="L57" s="8" t="n"/>
      <c r="M57" s="8" t="n"/>
      <c r="N57" s="8" t="n"/>
      <c r="O57" s="8" t="n"/>
      <c r="P57" s="8" t="n"/>
      <c r="Q57" s="8" t="n"/>
      <c r="R57" s="8" t="n"/>
    </row>
    <row r="58">
      <c r="A58" s="10" t="inlineStr">
        <is>
          <t>Stick demand</t>
        </is>
      </c>
      <c r="C58" s="43">
        <f>C37*in_SticksPerBox+C43</f>
        <v/>
      </c>
      <c r="D58" s="43">
        <f>D37*in_SticksPerBox+D43</f>
        <v/>
      </c>
      <c r="E58" s="43">
        <f>E37*in_SticksPerBox+E43</f>
        <v/>
      </c>
      <c r="F58" s="43">
        <f>F37*in_SticksPerBox+F43</f>
        <v/>
      </c>
      <c r="G58" s="43">
        <f>G37*in_SticksPerBox+G43</f>
        <v/>
      </c>
      <c r="H58" s="43">
        <f>H37*in_SticksPerBox+H43</f>
        <v/>
      </c>
      <c r="I58" s="43">
        <f>I37*in_SticksPerBox+I43</f>
        <v/>
      </c>
      <c r="J58" s="43">
        <f>J37*in_SticksPerBox+J43</f>
        <v/>
      </c>
      <c r="K58" s="43">
        <f>K37*in_SticksPerBox+K43</f>
        <v/>
      </c>
      <c r="L58" s="43">
        <f>L37*in_SticksPerBox+L43</f>
        <v/>
      </c>
      <c r="M58" s="43">
        <f>M37*in_SticksPerBox+M43</f>
        <v/>
      </c>
      <c r="N58" s="43">
        <f>N37*in_SticksPerBox+N43</f>
        <v/>
      </c>
      <c r="O58" s="43">
        <f>O37*in_SticksPerBox+O43</f>
        <v/>
      </c>
      <c r="P58" s="43">
        <f>P37*in_SticksPerBox+P43</f>
        <v/>
      </c>
      <c r="Q58" s="43">
        <f>Q37*in_SticksPerBox+Q43</f>
        <v/>
      </c>
      <c r="R58" s="44">
        <f>SUM(C58:Q58)</f>
        <v/>
      </c>
    </row>
    <row r="59">
      <c r="A59" s="10" t="inlineStr">
        <is>
          <t>Opening stock</t>
        </is>
      </c>
      <c r="C59" s="43">
        <f>0</f>
        <v/>
      </c>
      <c r="D59" s="43">
        <f>C66</f>
        <v/>
      </c>
      <c r="E59" s="43">
        <f>D66</f>
        <v/>
      </c>
      <c r="F59" s="43">
        <f>E66</f>
        <v/>
      </c>
      <c r="G59" s="43">
        <f>F66</f>
        <v/>
      </c>
      <c r="H59" s="43">
        <f>G66</f>
        <v/>
      </c>
      <c r="I59" s="43">
        <f>H66</f>
        <v/>
      </c>
      <c r="J59" s="43">
        <f>I66</f>
        <v/>
      </c>
      <c r="K59" s="43">
        <f>J66</f>
        <v/>
      </c>
      <c r="L59" s="43">
        <f>K66</f>
        <v/>
      </c>
      <c r="M59" s="43">
        <f>L66</f>
        <v/>
      </c>
      <c r="N59" s="43">
        <f>M66</f>
        <v/>
      </c>
      <c r="O59" s="43">
        <f>N66</f>
        <v/>
      </c>
      <c r="P59" s="43">
        <f>O66</f>
        <v/>
      </c>
      <c r="Q59" s="43">
        <f>P66</f>
        <v/>
      </c>
    </row>
    <row r="60">
      <c r="A60" s="10" t="inlineStr">
        <is>
          <t>First run received</t>
        </is>
      </c>
      <c r="C60" s="43">
        <f>IF(EOMONTH(in_FirstShip,0)=EOMONTH(C$23,0),$B$9,0)</f>
        <v/>
      </c>
      <c r="D60" s="43">
        <f>IF(EOMONTH(in_FirstShip,0)=EOMONTH(D$23,0),$B$9,0)</f>
        <v/>
      </c>
      <c r="E60" s="43">
        <f>IF(EOMONTH(in_FirstShip,0)=EOMONTH(E$23,0),$B$9,0)</f>
        <v/>
      </c>
      <c r="F60" s="43">
        <f>IF(EOMONTH(in_FirstShip,0)=EOMONTH(F$23,0),$B$9,0)</f>
        <v/>
      </c>
      <c r="G60" s="43">
        <f>IF(EOMONTH(in_FirstShip,0)=EOMONTH(G$23,0),$B$9,0)</f>
        <v/>
      </c>
      <c r="H60" s="43">
        <f>IF(EOMONTH(in_FirstShip,0)=EOMONTH(H$23,0),$B$9,0)</f>
        <v/>
      </c>
      <c r="I60" s="43">
        <f>IF(EOMONTH(in_FirstShip,0)=EOMONTH(I$23,0),$B$9,0)</f>
        <v/>
      </c>
      <c r="J60" s="43">
        <f>IF(EOMONTH(in_FirstShip,0)=EOMONTH(J$23,0),$B$9,0)</f>
        <v/>
      </c>
      <c r="K60" s="43">
        <f>IF(EOMONTH(in_FirstShip,0)=EOMONTH(K$23,0),$B$9,0)</f>
        <v/>
      </c>
      <c r="L60" s="43">
        <f>IF(EOMONTH(in_FirstShip,0)=EOMONTH(L$23,0),$B$9,0)</f>
        <v/>
      </c>
      <c r="M60" s="43">
        <f>IF(EOMONTH(in_FirstShip,0)=EOMONTH(M$23,0),$B$9,0)</f>
        <v/>
      </c>
      <c r="N60" s="43">
        <f>IF(EOMONTH(in_FirstShip,0)=EOMONTH(N$23,0),$B$9,0)</f>
        <v/>
      </c>
      <c r="O60" s="43">
        <f>IF(EOMONTH(in_FirstShip,0)=EOMONTH(O$23,0),$B$9,0)</f>
        <v/>
      </c>
      <c r="P60" s="43">
        <f>IF(EOMONTH(in_FirstShip,0)=EOMONTH(P$23,0),$B$9,0)</f>
        <v/>
      </c>
      <c r="Q60" s="43">
        <f>IF(EOMONTH(in_FirstShip,0)=EOMONTH(Q$23,0),$B$9,0)</f>
        <v/>
      </c>
      <c r="R60" s="44">
        <f>SUM(C60:Q60)</f>
        <v/>
      </c>
    </row>
    <row r="61">
      <c r="A61" s="10" t="inlineStr">
        <is>
          <t>Reorders received (placed lead-time months earlier)</t>
        </is>
      </c>
      <c r="C61" s="43">
        <f>IF(in_Lead=1,0,IF(in_Lead=2,0,IF(in_Lead=3,0,0)))</f>
        <v/>
      </c>
      <c r="D61" s="43">
        <f>IF(in_Lead=1,C63,IF(in_Lead=2,0,IF(in_Lead=3,0,0)))</f>
        <v/>
      </c>
      <c r="E61" s="43">
        <f>IF(in_Lead=1,D63,IF(in_Lead=2,C63,IF(in_Lead=3,0,0)))</f>
        <v/>
      </c>
      <c r="F61" s="43">
        <f>IF(in_Lead=1,E63,IF(in_Lead=2,D63,IF(in_Lead=3,C63,0)))</f>
        <v/>
      </c>
      <c r="G61" s="43">
        <f>IF(in_Lead=1,F63,IF(in_Lead=2,E63,IF(in_Lead=3,D63,0)))</f>
        <v/>
      </c>
      <c r="H61" s="43">
        <f>IF(in_Lead=1,G63,IF(in_Lead=2,F63,IF(in_Lead=3,E63,0)))</f>
        <v/>
      </c>
      <c r="I61" s="43">
        <f>IF(in_Lead=1,H63,IF(in_Lead=2,G63,IF(in_Lead=3,F63,0)))</f>
        <v/>
      </c>
      <c r="J61" s="43">
        <f>IF(in_Lead=1,I63,IF(in_Lead=2,H63,IF(in_Lead=3,G63,0)))</f>
        <v/>
      </c>
      <c r="K61" s="43">
        <f>IF(in_Lead=1,J63,IF(in_Lead=2,I63,IF(in_Lead=3,H63,0)))</f>
        <v/>
      </c>
      <c r="L61" s="43">
        <f>IF(in_Lead=1,K63,IF(in_Lead=2,J63,IF(in_Lead=3,I63,0)))</f>
        <v/>
      </c>
      <c r="M61" s="43">
        <f>IF(in_Lead=1,L63,IF(in_Lead=2,K63,IF(in_Lead=3,J63,0)))</f>
        <v/>
      </c>
      <c r="N61" s="43">
        <f>IF(in_Lead=1,M63,IF(in_Lead=2,L63,IF(in_Lead=3,K63,0)))</f>
        <v/>
      </c>
      <c r="O61" s="43">
        <f>IF(in_Lead=1,N63,IF(in_Lead=2,M63,IF(in_Lead=3,L63,0)))</f>
        <v/>
      </c>
      <c r="P61" s="43">
        <f>IF(in_Lead=1,O63,IF(in_Lead=2,N63,IF(in_Lead=3,M63,0)))</f>
        <v/>
      </c>
      <c r="Q61" s="43">
        <f>IF(in_Lead=1,P63,IF(in_Lead=2,O63,IF(in_Lead=3,N63,0)))</f>
        <v/>
      </c>
      <c r="R61" s="44">
        <f>SUM(C61:Q61)</f>
        <v/>
      </c>
    </row>
    <row r="62">
      <c r="A62" s="10" t="inlineStr">
        <is>
          <t>On order, still in transit after this month</t>
        </is>
      </c>
      <c r="C62" s="43">
        <f>IF(in_Lead&gt;=2,0,0)+IF(in_Lead&gt;=3,0,0)</f>
        <v/>
      </c>
      <c r="D62" s="43">
        <f>IF(in_Lead&gt;=2,C63,0)+IF(in_Lead&gt;=3,0,0)</f>
        <v/>
      </c>
      <c r="E62" s="43">
        <f>IF(in_Lead&gt;=2,D63,0)+IF(in_Lead&gt;=3,C63,0)</f>
        <v/>
      </c>
      <c r="F62" s="43">
        <f>IF(in_Lead&gt;=2,E63,0)+IF(in_Lead&gt;=3,D63,0)</f>
        <v/>
      </c>
      <c r="G62" s="43">
        <f>IF(in_Lead&gt;=2,F63,0)+IF(in_Lead&gt;=3,E63,0)</f>
        <v/>
      </c>
      <c r="H62" s="43">
        <f>IF(in_Lead&gt;=2,G63,0)+IF(in_Lead&gt;=3,F63,0)</f>
        <v/>
      </c>
      <c r="I62" s="43">
        <f>IF(in_Lead&gt;=2,H63,0)+IF(in_Lead&gt;=3,G63,0)</f>
        <v/>
      </c>
      <c r="J62" s="43">
        <f>IF(in_Lead&gt;=2,I63,0)+IF(in_Lead&gt;=3,H63,0)</f>
        <v/>
      </c>
      <c r="K62" s="43">
        <f>IF(in_Lead&gt;=2,J63,0)+IF(in_Lead&gt;=3,I63,0)</f>
        <v/>
      </c>
      <c r="L62" s="43">
        <f>IF(in_Lead&gt;=2,K63,0)+IF(in_Lead&gt;=3,J63,0)</f>
        <v/>
      </c>
      <c r="M62" s="43">
        <f>IF(in_Lead&gt;=2,L63,0)+IF(in_Lead&gt;=3,K63,0)</f>
        <v/>
      </c>
      <c r="N62" s="43">
        <f>IF(in_Lead&gt;=2,M63,0)+IF(in_Lead&gt;=3,L63,0)</f>
        <v/>
      </c>
      <c r="O62" s="43">
        <f>IF(in_Lead&gt;=2,N63,0)+IF(in_Lead&gt;=3,M63,0)</f>
        <v/>
      </c>
      <c r="P62" s="43">
        <f>IF(in_Lead&gt;=2,O63,0)+IF(in_Lead&gt;=3,N63,0)</f>
        <v/>
      </c>
      <c r="Q62" s="43">
        <f>IF(in_Lead&gt;=2,P63,0)+IF(in_Lead&gt;=3,O63,0)</f>
        <v/>
      </c>
    </row>
    <row r="63">
      <c r="A63" s="10" t="inlineStr">
        <is>
          <t>Reorder placed and paid</t>
        </is>
      </c>
      <c r="C63" s="43">
        <f>IF(C24=1,IF(C59+C60+C61+C62&lt;C58*in_Cover,ROUNDUP((C58*in_Cover-(C59+C60+C61+C62))/$B$9,0)*$B$9,0),0)</f>
        <v/>
      </c>
      <c r="D63" s="43">
        <f>IF(D24=1,IF(D59+D60+D61+D62&lt;D58*in_Cover,ROUNDUP((D58*in_Cover-(D59+D60+D61+D62))/$B$9,0)*$B$9,0),0)</f>
        <v/>
      </c>
      <c r="E63" s="43">
        <f>IF(E24=1,IF(E59+E60+E61+E62&lt;E58*in_Cover,ROUNDUP((E58*in_Cover-(E59+E60+E61+E62))/$B$9,0)*$B$9,0),0)</f>
        <v/>
      </c>
      <c r="F63" s="43">
        <f>IF(F24=1,IF(F59+F60+F61+F62&lt;F58*in_Cover,ROUNDUP((F58*in_Cover-(F59+F60+F61+F62))/$B$9,0)*$B$9,0),0)</f>
        <v/>
      </c>
      <c r="G63" s="43">
        <f>IF(G24=1,IF(G59+G60+G61+G62&lt;G58*in_Cover,ROUNDUP((G58*in_Cover-(G59+G60+G61+G62))/$B$9,0)*$B$9,0),0)</f>
        <v/>
      </c>
      <c r="H63" s="43">
        <f>IF(H24=1,IF(H59+H60+H61+H62&lt;H58*in_Cover,ROUNDUP((H58*in_Cover-(H59+H60+H61+H62))/$B$9,0)*$B$9,0),0)</f>
        <v/>
      </c>
      <c r="I63" s="43">
        <f>IF(I24=1,IF(I59+I60+I61+I62&lt;I58*in_Cover,ROUNDUP((I58*in_Cover-(I59+I60+I61+I62))/$B$9,0)*$B$9,0),0)</f>
        <v/>
      </c>
      <c r="J63" s="43">
        <f>IF(J24=1,IF(J59+J60+J61+J62&lt;J58*in_Cover,ROUNDUP((J58*in_Cover-(J59+J60+J61+J62))/$B$9,0)*$B$9,0),0)</f>
        <v/>
      </c>
      <c r="K63" s="43">
        <f>IF(K24=1,IF(K59+K60+K61+K62&lt;K58*in_Cover,ROUNDUP((K58*in_Cover-(K59+K60+K61+K62))/$B$9,0)*$B$9,0),0)</f>
        <v/>
      </c>
      <c r="L63" s="43">
        <f>IF(L24=1,IF(L59+L60+L61+L62&lt;L58*in_Cover,ROUNDUP((L58*in_Cover-(L59+L60+L61+L62))/$B$9,0)*$B$9,0),0)</f>
        <v/>
      </c>
      <c r="M63" s="43">
        <f>IF(M24=1,IF(M59+M60+M61+M62&lt;M58*in_Cover,ROUNDUP((M58*in_Cover-(M59+M60+M61+M62))/$B$9,0)*$B$9,0),0)</f>
        <v/>
      </c>
      <c r="N63" s="43">
        <f>IF(N24=1,IF(N59+N60+N61+N62&lt;N58*in_Cover,ROUNDUP((N58*in_Cover-(N59+N60+N61+N62))/$B$9,0)*$B$9,0),0)</f>
        <v/>
      </c>
      <c r="O63" s="43">
        <f>IF(O24=1,IF(O59+O60+O61+O62&lt;O58*in_Cover,ROUNDUP((O58*in_Cover-(O59+O60+O61+O62))/$B$9,0)*$B$9,0),0)</f>
        <v/>
      </c>
      <c r="P63" s="43">
        <f>IF(P24=1,IF(P59+P60+P61+P62&lt;P58*in_Cover,ROUNDUP((P58*in_Cover-(P59+P60+P61+P62))/$B$9,0)*$B$9,0),0)</f>
        <v/>
      </c>
      <c r="Q63" s="43">
        <f>IF(Q24=1,IF(Q59+Q60+Q61+Q62&lt;Q58*in_Cover,ROUNDUP((Q58*in_Cover-(Q59+Q60+Q61+Q62))/$B$9,0)*$B$9,0),0)</f>
        <v/>
      </c>
      <c r="R63" s="44">
        <f>SUM(C63:Q63)</f>
        <v/>
      </c>
    </row>
    <row r="64">
      <c r="A64" s="10" t="inlineStr">
        <is>
          <t>Sticks sold</t>
        </is>
      </c>
      <c r="C64" s="43">
        <f>MIN(C58,C59+C60+C61)</f>
        <v/>
      </c>
      <c r="D64" s="43">
        <f>MIN(D58,D59+D60+D61)</f>
        <v/>
      </c>
      <c r="E64" s="43">
        <f>MIN(E58,E59+E60+E61)</f>
        <v/>
      </c>
      <c r="F64" s="43">
        <f>MIN(F58,F59+F60+F61)</f>
        <v/>
      </c>
      <c r="G64" s="43">
        <f>MIN(G58,G59+G60+G61)</f>
        <v/>
      </c>
      <c r="H64" s="43">
        <f>MIN(H58,H59+H60+H61)</f>
        <v/>
      </c>
      <c r="I64" s="43">
        <f>MIN(I58,I59+I60+I61)</f>
        <v/>
      </c>
      <c r="J64" s="43">
        <f>MIN(J58,J59+J60+J61)</f>
        <v/>
      </c>
      <c r="K64" s="43">
        <f>MIN(K58,K59+K60+K61)</f>
        <v/>
      </c>
      <c r="L64" s="43">
        <f>MIN(L58,L59+L60+L61)</f>
        <v/>
      </c>
      <c r="M64" s="43">
        <f>MIN(M58,M59+M60+M61)</f>
        <v/>
      </c>
      <c r="N64" s="43">
        <f>MIN(N58,N59+N60+N61)</f>
        <v/>
      </c>
      <c r="O64" s="43">
        <f>MIN(O58,O59+O60+O61)</f>
        <v/>
      </c>
      <c r="P64" s="43">
        <f>MIN(P58,P59+P60+P61)</f>
        <v/>
      </c>
      <c r="Q64" s="43">
        <f>MIN(Q58,Q59+Q60+Q61)</f>
        <v/>
      </c>
      <c r="R64" s="44">
        <f>SUM(C64:Q64)</f>
        <v/>
      </c>
    </row>
    <row r="65">
      <c r="A65" s="10" t="inlineStr">
        <is>
          <t>Stick shortfall (check: should be 0)</t>
        </is>
      </c>
      <c r="B65" s="6" t="inlineStr">
        <is>
          <t>Must stay 0</t>
        </is>
      </c>
      <c r="C65" s="43">
        <f>C58-C64</f>
        <v/>
      </c>
      <c r="D65" s="43">
        <f>D58-D64</f>
        <v/>
      </c>
      <c r="E65" s="43">
        <f>E58-E64</f>
        <v/>
      </c>
      <c r="F65" s="43">
        <f>F58-F64</f>
        <v/>
      </c>
      <c r="G65" s="43">
        <f>G58-G64</f>
        <v/>
      </c>
      <c r="H65" s="43">
        <f>H58-H64</f>
        <v/>
      </c>
      <c r="I65" s="43">
        <f>I58-I64</f>
        <v/>
      </c>
      <c r="J65" s="43">
        <f>J58-J64</f>
        <v/>
      </c>
      <c r="K65" s="43">
        <f>K58-K64</f>
        <v/>
      </c>
      <c r="L65" s="43">
        <f>L58-L64</f>
        <v/>
      </c>
      <c r="M65" s="43">
        <f>M58-M64</f>
        <v/>
      </c>
      <c r="N65" s="43">
        <f>N58-N64</f>
        <v/>
      </c>
      <c r="O65" s="43">
        <f>O58-O64</f>
        <v/>
      </c>
      <c r="P65" s="43">
        <f>P58-P64</f>
        <v/>
      </c>
      <c r="Q65" s="43">
        <f>Q58-Q64</f>
        <v/>
      </c>
      <c r="R65" s="44">
        <f>SUM(C65:Q65)</f>
        <v/>
      </c>
    </row>
    <row r="66">
      <c r="A66" s="10" t="inlineStr">
        <is>
          <t>Closing stock</t>
        </is>
      </c>
      <c r="C66" s="43">
        <f>C59+C60+C61-C64</f>
        <v/>
      </c>
      <c r="D66" s="43">
        <f>D59+D60+D61-D64</f>
        <v/>
      </c>
      <c r="E66" s="43">
        <f>E59+E60+E61-E64</f>
        <v/>
      </c>
      <c r="F66" s="43">
        <f>F59+F60+F61-F64</f>
        <v/>
      </c>
      <c r="G66" s="43">
        <f>G59+G60+G61-G64</f>
        <v/>
      </c>
      <c r="H66" s="43">
        <f>H59+H60+H61-H64</f>
        <v/>
      </c>
      <c r="I66" s="43">
        <f>I59+I60+I61-I64</f>
        <v/>
      </c>
      <c r="J66" s="43">
        <f>J59+J60+J61-J64</f>
        <v/>
      </c>
      <c r="K66" s="43">
        <f>K59+K60+K61-K64</f>
        <v/>
      </c>
      <c r="L66" s="43">
        <f>L59+L60+L61-L64</f>
        <v/>
      </c>
      <c r="M66" s="43">
        <f>M59+M60+M61-M64</f>
        <v/>
      </c>
      <c r="N66" s="43">
        <f>N59+N60+N61-N64</f>
        <v/>
      </c>
      <c r="O66" s="43">
        <f>O59+O60+O61-O64</f>
        <v/>
      </c>
      <c r="P66" s="43">
        <f>P59+P60+P61-P64</f>
        <v/>
      </c>
      <c r="Q66" s="43">
        <f>Q59+Q60+Q61-Q64</f>
        <v/>
      </c>
    </row>
    <row r="68">
      <c r="A68" s="7" t="inlineStr">
        <is>
          <t>Cash in</t>
        </is>
      </c>
      <c r="B68" s="8" t="n"/>
      <c r="C68" s="8" t="n"/>
      <c r="D68" s="8" t="n"/>
      <c r="E68" s="8" t="n"/>
      <c r="F68" s="8" t="n"/>
      <c r="G68" s="8" t="n"/>
      <c r="H68" s="8" t="n"/>
      <c r="I68" s="8" t="n"/>
      <c r="J68" s="8" t="n"/>
      <c r="K68" s="8" t="n"/>
      <c r="L68" s="8" t="n"/>
      <c r="M68" s="8" t="n"/>
      <c r="N68" s="8" t="n"/>
      <c r="O68" s="8" t="n"/>
      <c r="P68" s="8" t="n"/>
      <c r="Q68" s="8" t="n"/>
      <c r="R68" s="8" t="n"/>
    </row>
    <row r="69">
      <c r="A69" s="10" t="inlineStr">
        <is>
          <t>DTC one-off pouches</t>
        </is>
      </c>
      <c r="C69" s="45">
        <f>C35*in_PricePouch</f>
        <v/>
      </c>
      <c r="D69" s="45">
        <f>D35*in_PricePouch</f>
        <v/>
      </c>
      <c r="E69" s="45">
        <f>E35*in_PricePouch</f>
        <v/>
      </c>
      <c r="F69" s="45">
        <f>F35*in_PricePouch</f>
        <v/>
      </c>
      <c r="G69" s="45">
        <f>G35*in_PricePouch</f>
        <v/>
      </c>
      <c r="H69" s="45">
        <f>H35*in_PricePouch</f>
        <v/>
      </c>
      <c r="I69" s="45">
        <f>I35*in_PricePouch</f>
        <v/>
      </c>
      <c r="J69" s="45">
        <f>J35*in_PricePouch</f>
        <v/>
      </c>
      <c r="K69" s="45">
        <f>K35*in_PricePouch</f>
        <v/>
      </c>
      <c r="L69" s="45">
        <f>L35*in_PricePouch</f>
        <v/>
      </c>
      <c r="M69" s="45">
        <f>M35*in_PricePouch</f>
        <v/>
      </c>
      <c r="N69" s="45">
        <f>N35*in_PricePouch</f>
        <v/>
      </c>
      <c r="O69" s="45">
        <f>O35*in_PricePouch</f>
        <v/>
      </c>
      <c r="P69" s="45">
        <f>P35*in_PricePouch</f>
        <v/>
      </c>
      <c r="Q69" s="45">
        <f>Q35*in_PricePouch</f>
        <v/>
      </c>
      <c r="R69" s="46">
        <f>SUM(C69:Q69)</f>
        <v/>
      </c>
    </row>
    <row r="70">
      <c r="A70" s="10" t="inlineStr">
        <is>
          <t>DTC subscription pouches</t>
        </is>
      </c>
      <c r="C70" s="45">
        <f>C32*in_PricePouch*(1-in_SubDisc)</f>
        <v/>
      </c>
      <c r="D70" s="45">
        <f>D32*in_PricePouch*(1-in_SubDisc)</f>
        <v/>
      </c>
      <c r="E70" s="45">
        <f>E32*in_PricePouch*(1-in_SubDisc)</f>
        <v/>
      </c>
      <c r="F70" s="45">
        <f>F32*in_PricePouch*(1-in_SubDisc)</f>
        <v/>
      </c>
      <c r="G70" s="45">
        <f>G32*in_PricePouch*(1-in_SubDisc)</f>
        <v/>
      </c>
      <c r="H70" s="45">
        <f>H32*in_PricePouch*(1-in_SubDisc)</f>
        <v/>
      </c>
      <c r="I70" s="45">
        <f>I32*in_PricePouch*(1-in_SubDisc)</f>
        <v/>
      </c>
      <c r="J70" s="45">
        <f>J32*in_PricePouch*(1-in_SubDisc)</f>
        <v/>
      </c>
      <c r="K70" s="45">
        <f>K32*in_PricePouch*(1-in_SubDisc)</f>
        <v/>
      </c>
      <c r="L70" s="45">
        <f>L32*in_PricePouch*(1-in_SubDisc)</f>
        <v/>
      </c>
      <c r="M70" s="45">
        <f>M32*in_PricePouch*(1-in_SubDisc)</f>
        <v/>
      </c>
      <c r="N70" s="45">
        <f>N32*in_PricePouch*(1-in_SubDisc)</f>
        <v/>
      </c>
      <c r="O70" s="45">
        <f>O32*in_PricePouch*(1-in_SubDisc)</f>
        <v/>
      </c>
      <c r="P70" s="45">
        <f>P32*in_PricePouch*(1-in_SubDisc)</f>
        <v/>
      </c>
      <c r="Q70" s="45">
        <f>Q32*in_PricePouch*(1-in_SubDisc)</f>
        <v/>
      </c>
      <c r="R70" s="46">
        <f>SUM(C70:Q70)</f>
        <v/>
      </c>
    </row>
    <row r="71">
      <c r="A71" s="10" t="inlineStr">
        <is>
          <t>Founding offer discount (waitlist first orders)</t>
        </is>
      </c>
      <c r="C71" s="45">
        <f>-C27*in_PricePouch*in_FoundDisc</f>
        <v/>
      </c>
      <c r="D71" s="45">
        <f>-D27*in_PricePouch*in_FoundDisc</f>
        <v/>
      </c>
      <c r="E71" s="45">
        <f>-E27*in_PricePouch*in_FoundDisc</f>
        <v/>
      </c>
      <c r="F71" s="45">
        <f>-F27*in_PricePouch*in_FoundDisc</f>
        <v/>
      </c>
      <c r="G71" s="45">
        <f>-G27*in_PricePouch*in_FoundDisc</f>
        <v/>
      </c>
      <c r="H71" s="45">
        <f>-H27*in_PricePouch*in_FoundDisc</f>
        <v/>
      </c>
      <c r="I71" s="45">
        <f>-I27*in_PricePouch*in_FoundDisc</f>
        <v/>
      </c>
      <c r="J71" s="45">
        <f>-J27*in_PricePouch*in_FoundDisc</f>
        <v/>
      </c>
      <c r="K71" s="45">
        <f>-K27*in_PricePouch*in_FoundDisc</f>
        <v/>
      </c>
      <c r="L71" s="45">
        <f>-L27*in_PricePouch*in_FoundDisc</f>
        <v/>
      </c>
      <c r="M71" s="45">
        <f>-M27*in_PricePouch*in_FoundDisc</f>
        <v/>
      </c>
      <c r="N71" s="45">
        <f>-N27*in_PricePouch*in_FoundDisc</f>
        <v/>
      </c>
      <c r="O71" s="45">
        <f>-O27*in_PricePouch*in_FoundDisc</f>
        <v/>
      </c>
      <c r="P71" s="45">
        <f>-P27*in_PricePouch*in_FoundDisc</f>
        <v/>
      </c>
      <c r="Q71" s="45">
        <f>-Q27*in_PricePouch*in_FoundDisc</f>
        <v/>
      </c>
      <c r="R71" s="46">
        <f>SUM(C71:Q71)</f>
        <v/>
      </c>
    </row>
    <row r="72">
      <c r="A72" s="10" t="inlineStr">
        <is>
          <t>DTC stick boxes</t>
        </is>
      </c>
      <c r="C72" s="45">
        <f>C37*in_PriceStickBox</f>
        <v/>
      </c>
      <c r="D72" s="45">
        <f>D37*in_PriceStickBox</f>
        <v/>
      </c>
      <c r="E72" s="45">
        <f>E37*in_PriceStickBox</f>
        <v/>
      </c>
      <c r="F72" s="45">
        <f>F37*in_PriceStickBox</f>
        <v/>
      </c>
      <c r="G72" s="45">
        <f>G37*in_PriceStickBox</f>
        <v/>
      </c>
      <c r="H72" s="45">
        <f>H37*in_PriceStickBox</f>
        <v/>
      </c>
      <c r="I72" s="45">
        <f>I37*in_PriceStickBox</f>
        <v/>
      </c>
      <c r="J72" s="45">
        <f>J37*in_PriceStickBox</f>
        <v/>
      </c>
      <c r="K72" s="45">
        <f>K37*in_PriceStickBox</f>
        <v/>
      </c>
      <c r="L72" s="45">
        <f>L37*in_PriceStickBox</f>
        <v/>
      </c>
      <c r="M72" s="45">
        <f>M37*in_PriceStickBox</f>
        <v/>
      </c>
      <c r="N72" s="45">
        <f>N37*in_PriceStickBox</f>
        <v/>
      </c>
      <c r="O72" s="45">
        <f>O37*in_PriceStickBox</f>
        <v/>
      </c>
      <c r="P72" s="45">
        <f>P37*in_PriceStickBox</f>
        <v/>
      </c>
      <c r="Q72" s="45">
        <f>Q37*in_PriceStickBox</f>
        <v/>
      </c>
      <c r="R72" s="46">
        <f>SUM(C72:Q72)</f>
        <v/>
      </c>
    </row>
    <row r="73">
      <c r="A73" s="10" t="inlineStr">
        <is>
          <t>Shipping charged to customers</t>
        </is>
      </c>
      <c r="C73" s="45">
        <f>IF(in_FreeShip=1,0,(C36+C37)*in_ShipCharge)</f>
        <v/>
      </c>
      <c r="D73" s="45">
        <f>IF(in_FreeShip=1,0,(D36+D37)*in_ShipCharge)</f>
        <v/>
      </c>
      <c r="E73" s="45">
        <f>IF(in_FreeShip=1,0,(E36+E37)*in_ShipCharge)</f>
        <v/>
      </c>
      <c r="F73" s="45">
        <f>IF(in_FreeShip=1,0,(F36+F37)*in_ShipCharge)</f>
        <v/>
      </c>
      <c r="G73" s="45">
        <f>IF(in_FreeShip=1,0,(G36+G37)*in_ShipCharge)</f>
        <v/>
      </c>
      <c r="H73" s="45">
        <f>IF(in_FreeShip=1,0,(H36+H37)*in_ShipCharge)</f>
        <v/>
      </c>
      <c r="I73" s="45">
        <f>IF(in_FreeShip=1,0,(I36+I37)*in_ShipCharge)</f>
        <v/>
      </c>
      <c r="J73" s="45">
        <f>IF(in_FreeShip=1,0,(J36+J37)*in_ShipCharge)</f>
        <v/>
      </c>
      <c r="K73" s="45">
        <f>IF(in_FreeShip=1,0,(K36+K37)*in_ShipCharge)</f>
        <v/>
      </c>
      <c r="L73" s="45">
        <f>IF(in_FreeShip=1,0,(L36+L37)*in_ShipCharge)</f>
        <v/>
      </c>
      <c r="M73" s="45">
        <f>IF(in_FreeShip=1,0,(M36+M37)*in_ShipCharge)</f>
        <v/>
      </c>
      <c r="N73" s="45">
        <f>IF(in_FreeShip=1,0,(N36+N37)*in_ShipCharge)</f>
        <v/>
      </c>
      <c r="O73" s="45">
        <f>IF(in_FreeShip=1,0,(O36+O37)*in_ShipCharge)</f>
        <v/>
      </c>
      <c r="P73" s="45">
        <f>IF(in_FreeShip=1,0,(P36+P37)*in_ShipCharge)</f>
        <v/>
      </c>
      <c r="Q73" s="45">
        <f>IF(in_FreeShip=1,0,(Q36+Q37)*in_ShipCharge)</f>
        <v/>
      </c>
      <c r="R73" s="46">
        <f>SUM(C73:Q73)</f>
        <v/>
      </c>
    </row>
    <row r="74">
      <c r="A74" s="26" t="inlineStr">
        <is>
          <t>DTC revenue</t>
        </is>
      </c>
      <c r="C74" s="47">
        <f>SUM(C69:C73)</f>
        <v/>
      </c>
      <c r="D74" s="47">
        <f>SUM(D69:D73)</f>
        <v/>
      </c>
      <c r="E74" s="47">
        <f>SUM(E69:E73)</f>
        <v/>
      </c>
      <c r="F74" s="47">
        <f>SUM(F69:F73)</f>
        <v/>
      </c>
      <c r="G74" s="47">
        <f>SUM(G69:G73)</f>
        <v/>
      </c>
      <c r="H74" s="47">
        <f>SUM(H69:H73)</f>
        <v/>
      </c>
      <c r="I74" s="47">
        <f>SUM(I69:I73)</f>
        <v/>
      </c>
      <c r="J74" s="47">
        <f>SUM(J69:J73)</f>
        <v/>
      </c>
      <c r="K74" s="47">
        <f>SUM(K69:K73)</f>
        <v/>
      </c>
      <c r="L74" s="47">
        <f>SUM(L69:L73)</f>
        <v/>
      </c>
      <c r="M74" s="47">
        <f>SUM(M69:M73)</f>
        <v/>
      </c>
      <c r="N74" s="47">
        <f>SUM(N69:N73)</f>
        <v/>
      </c>
      <c r="O74" s="47">
        <f>SUM(O69:O73)</f>
        <v/>
      </c>
      <c r="P74" s="47">
        <f>SUM(P69:P73)</f>
        <v/>
      </c>
      <c r="Q74" s="47">
        <f>SUM(Q69:Q73)</f>
        <v/>
      </c>
      <c r="R74" s="46">
        <f>SUM(C74:Q74)</f>
        <v/>
      </c>
    </row>
    <row r="75">
      <c r="A75" s="10" t="inlineStr">
        <is>
          <t>Wholesale invoiced (pouches + sticks)</t>
        </is>
      </c>
      <c r="C75" s="45">
        <f>C42*in_WsPouch+C43*in_WsStick</f>
        <v/>
      </c>
      <c r="D75" s="45">
        <f>D42*in_WsPouch+D43*in_WsStick</f>
        <v/>
      </c>
      <c r="E75" s="45">
        <f>E42*in_WsPouch+E43*in_WsStick</f>
        <v/>
      </c>
      <c r="F75" s="45">
        <f>F42*in_WsPouch+F43*in_WsStick</f>
        <v/>
      </c>
      <c r="G75" s="45">
        <f>G42*in_WsPouch+G43*in_WsStick</f>
        <v/>
      </c>
      <c r="H75" s="45">
        <f>H42*in_WsPouch+H43*in_WsStick</f>
        <v/>
      </c>
      <c r="I75" s="45">
        <f>I42*in_WsPouch+I43*in_WsStick</f>
        <v/>
      </c>
      <c r="J75" s="45">
        <f>J42*in_WsPouch+J43*in_WsStick</f>
        <v/>
      </c>
      <c r="K75" s="45">
        <f>K42*in_WsPouch+K43*in_WsStick</f>
        <v/>
      </c>
      <c r="L75" s="45">
        <f>L42*in_WsPouch+L43*in_WsStick</f>
        <v/>
      </c>
      <c r="M75" s="45">
        <f>M42*in_WsPouch+M43*in_WsStick</f>
        <v/>
      </c>
      <c r="N75" s="45">
        <f>N42*in_WsPouch+N43*in_WsStick</f>
        <v/>
      </c>
      <c r="O75" s="45">
        <f>O42*in_WsPouch+O43*in_WsStick</f>
        <v/>
      </c>
      <c r="P75" s="45">
        <f>P42*in_WsPouch+P43*in_WsStick</f>
        <v/>
      </c>
      <c r="Q75" s="45">
        <f>Q42*in_WsPouch+Q43*in_WsStick</f>
        <v/>
      </c>
      <c r="R75" s="46">
        <f>SUM(C75:Q75)</f>
        <v/>
      </c>
    </row>
    <row r="76">
      <c r="A76" s="10" t="inlineStr">
        <is>
          <t>Wholesale cash collected</t>
        </is>
      </c>
      <c r="B76" s="6" t="inlineStr">
        <is>
          <t>Net 30 toggle</t>
        </is>
      </c>
      <c r="C76" s="45">
        <f>IF(in_Net30=1,0,C75)</f>
        <v/>
      </c>
      <c r="D76" s="45">
        <f>IF(in_Net30=1,C75,D75)</f>
        <v/>
      </c>
      <c r="E76" s="45">
        <f>IF(in_Net30=1,D75,E75)</f>
        <v/>
      </c>
      <c r="F76" s="45">
        <f>IF(in_Net30=1,E75,F75)</f>
        <v/>
      </c>
      <c r="G76" s="45">
        <f>IF(in_Net30=1,F75,G75)</f>
        <v/>
      </c>
      <c r="H76" s="45">
        <f>IF(in_Net30=1,G75,H75)</f>
        <v/>
      </c>
      <c r="I76" s="45">
        <f>IF(in_Net30=1,H75,I75)</f>
        <v/>
      </c>
      <c r="J76" s="45">
        <f>IF(in_Net30=1,I75,J75)</f>
        <v/>
      </c>
      <c r="K76" s="45">
        <f>IF(in_Net30=1,J75,K75)</f>
        <v/>
      </c>
      <c r="L76" s="45">
        <f>IF(in_Net30=1,K75,L75)</f>
        <v/>
      </c>
      <c r="M76" s="45">
        <f>IF(in_Net30=1,L75,M75)</f>
        <v/>
      </c>
      <c r="N76" s="45">
        <f>IF(in_Net30=1,M75,N75)</f>
        <v/>
      </c>
      <c r="O76" s="45">
        <f>IF(in_Net30=1,N75,O75)</f>
        <v/>
      </c>
      <c r="P76" s="45">
        <f>IF(in_Net30=1,O75,P75)</f>
        <v/>
      </c>
      <c r="Q76" s="45">
        <f>IF(in_Net30=1,P75,Q75)</f>
        <v/>
      </c>
      <c r="R76" s="46">
        <f>SUM(C76:Q76)</f>
        <v/>
      </c>
    </row>
    <row r="77">
      <c r="A77" s="26" t="inlineStr">
        <is>
          <t>Total cash in</t>
        </is>
      </c>
      <c r="C77" s="47">
        <f>C74+C76</f>
        <v/>
      </c>
      <c r="D77" s="47">
        <f>D74+D76</f>
        <v/>
      </c>
      <c r="E77" s="47">
        <f>E74+E76</f>
        <v/>
      </c>
      <c r="F77" s="47">
        <f>F74+F76</f>
        <v/>
      </c>
      <c r="G77" s="47">
        <f>G74+G76</f>
        <v/>
      </c>
      <c r="H77" s="47">
        <f>H74+H76</f>
        <v/>
      </c>
      <c r="I77" s="47">
        <f>I74+I76</f>
        <v/>
      </c>
      <c r="J77" s="47">
        <f>J74+J76</f>
        <v/>
      </c>
      <c r="K77" s="47">
        <f>K74+K76</f>
        <v/>
      </c>
      <c r="L77" s="47">
        <f>L74+L76</f>
        <v/>
      </c>
      <c r="M77" s="47">
        <f>M74+M76</f>
        <v/>
      </c>
      <c r="N77" s="47">
        <f>N74+N76</f>
        <v/>
      </c>
      <c r="O77" s="47">
        <f>O74+O76</f>
        <v/>
      </c>
      <c r="P77" s="47">
        <f>P74+P76</f>
        <v/>
      </c>
      <c r="Q77" s="47">
        <f>Q74+Q76</f>
        <v/>
      </c>
      <c r="R77" s="46">
        <f>SUM(C77:Q77)</f>
        <v/>
      </c>
    </row>
    <row r="79">
      <c r="A79" s="7" t="inlineStr">
        <is>
          <t>Inventory purchases (cash out)</t>
        </is>
      </c>
      <c r="B79" s="8" t="n"/>
      <c r="C79" s="8" t="n"/>
      <c r="D79" s="8" t="n"/>
      <c r="E79" s="8" t="n"/>
      <c r="F79" s="8" t="n"/>
      <c r="G79" s="8" t="n"/>
      <c r="H79" s="8" t="n"/>
      <c r="I79" s="8" t="n"/>
      <c r="J79" s="8" t="n"/>
      <c r="K79" s="8" t="n"/>
      <c r="L79" s="8" t="n"/>
      <c r="M79" s="8" t="n"/>
      <c r="N79" s="8" t="n"/>
      <c r="O79" s="8" t="n"/>
      <c r="P79" s="8" t="n"/>
      <c r="Q79" s="8" t="n"/>
      <c r="R79" s="8" t="n"/>
    </row>
    <row r="80">
      <c r="A80" s="10" t="inlineStr">
        <is>
          <t>First pouch run (deposit, then balance; less sample credit)</t>
        </is>
      </c>
      <c r="B80" s="6" t="inlineStr">
        <is>
          <t>Mode-dependent</t>
        </is>
      </c>
      <c r="C80" s="45">
        <f>$B$8*$B$6*(IF(EOMONTH(in_PODate,0)=EOMONTH(C$23,0),in_Deposit,0)+IF(EOMONTH(in_BalanceDate,0)=EOMONTH(C$23,0),1-in_Deposit,0))-IF(EOMONTH(in_PODate,0)=EOMONTH(C$23,0),$B$10,0)</f>
        <v/>
      </c>
      <c r="D80" s="45">
        <f>$B$8*$B$6*(IF(EOMONTH(in_PODate,0)=EOMONTH(D$23,0),in_Deposit,0)+IF(EOMONTH(in_BalanceDate,0)=EOMONTH(D$23,0),1-in_Deposit,0))-IF(EOMONTH(in_PODate,0)=EOMONTH(D$23,0),$B$10,0)</f>
        <v/>
      </c>
      <c r="E80" s="45">
        <f>$B$8*$B$6*(IF(EOMONTH(in_PODate,0)=EOMONTH(E$23,0),in_Deposit,0)+IF(EOMONTH(in_BalanceDate,0)=EOMONTH(E$23,0),1-in_Deposit,0))-IF(EOMONTH(in_PODate,0)=EOMONTH(E$23,0),$B$10,0)</f>
        <v/>
      </c>
      <c r="F80" s="45">
        <f>$B$8*$B$6*(IF(EOMONTH(in_PODate,0)=EOMONTH(F$23,0),in_Deposit,0)+IF(EOMONTH(in_BalanceDate,0)=EOMONTH(F$23,0),1-in_Deposit,0))-IF(EOMONTH(in_PODate,0)=EOMONTH(F$23,0),$B$10,0)</f>
        <v/>
      </c>
      <c r="G80" s="45">
        <f>$B$8*$B$6*(IF(EOMONTH(in_PODate,0)=EOMONTH(G$23,0),in_Deposit,0)+IF(EOMONTH(in_BalanceDate,0)=EOMONTH(G$23,0),1-in_Deposit,0))-IF(EOMONTH(in_PODate,0)=EOMONTH(G$23,0),$B$10,0)</f>
        <v/>
      </c>
      <c r="H80" s="45">
        <f>$B$8*$B$6*(IF(EOMONTH(in_PODate,0)=EOMONTH(H$23,0),in_Deposit,0)+IF(EOMONTH(in_BalanceDate,0)=EOMONTH(H$23,0),1-in_Deposit,0))-IF(EOMONTH(in_PODate,0)=EOMONTH(H$23,0),$B$10,0)</f>
        <v/>
      </c>
      <c r="I80" s="45">
        <f>$B$8*$B$6*(IF(EOMONTH(in_PODate,0)=EOMONTH(I$23,0),in_Deposit,0)+IF(EOMONTH(in_BalanceDate,0)=EOMONTH(I$23,0),1-in_Deposit,0))-IF(EOMONTH(in_PODate,0)=EOMONTH(I$23,0),$B$10,0)</f>
        <v/>
      </c>
      <c r="J80" s="45">
        <f>$B$8*$B$6*(IF(EOMONTH(in_PODate,0)=EOMONTH(J$23,0),in_Deposit,0)+IF(EOMONTH(in_BalanceDate,0)=EOMONTH(J$23,0),1-in_Deposit,0))-IF(EOMONTH(in_PODate,0)=EOMONTH(J$23,0),$B$10,0)</f>
        <v/>
      </c>
      <c r="K80" s="45">
        <f>$B$8*$B$6*(IF(EOMONTH(in_PODate,0)=EOMONTH(K$23,0),in_Deposit,0)+IF(EOMONTH(in_BalanceDate,0)=EOMONTH(K$23,0),1-in_Deposit,0))-IF(EOMONTH(in_PODate,0)=EOMONTH(K$23,0),$B$10,0)</f>
        <v/>
      </c>
      <c r="L80" s="45">
        <f>$B$8*$B$6*(IF(EOMONTH(in_PODate,0)=EOMONTH(L$23,0),in_Deposit,0)+IF(EOMONTH(in_BalanceDate,0)=EOMONTH(L$23,0),1-in_Deposit,0))-IF(EOMONTH(in_PODate,0)=EOMONTH(L$23,0),$B$10,0)</f>
        <v/>
      </c>
      <c r="M80" s="45">
        <f>$B$8*$B$6*(IF(EOMONTH(in_PODate,0)=EOMONTH(M$23,0),in_Deposit,0)+IF(EOMONTH(in_BalanceDate,0)=EOMONTH(M$23,0),1-in_Deposit,0))-IF(EOMONTH(in_PODate,0)=EOMONTH(M$23,0),$B$10,0)</f>
        <v/>
      </c>
      <c r="N80" s="45">
        <f>$B$8*$B$6*(IF(EOMONTH(in_PODate,0)=EOMONTH(N$23,0),in_Deposit,0)+IF(EOMONTH(in_BalanceDate,0)=EOMONTH(N$23,0),1-in_Deposit,0))-IF(EOMONTH(in_PODate,0)=EOMONTH(N$23,0),$B$10,0)</f>
        <v/>
      </c>
      <c r="O80" s="45">
        <f>$B$8*$B$6*(IF(EOMONTH(in_PODate,0)=EOMONTH(O$23,0),in_Deposit,0)+IF(EOMONTH(in_BalanceDate,0)=EOMONTH(O$23,0),1-in_Deposit,0))-IF(EOMONTH(in_PODate,0)=EOMONTH(O$23,0),$B$10,0)</f>
        <v/>
      </c>
      <c r="P80" s="45">
        <f>$B$8*$B$6*(IF(EOMONTH(in_PODate,0)=EOMONTH(P$23,0),in_Deposit,0)+IF(EOMONTH(in_BalanceDate,0)=EOMONTH(P$23,0),1-in_Deposit,0))-IF(EOMONTH(in_PODate,0)=EOMONTH(P$23,0),$B$10,0)</f>
        <v/>
      </c>
      <c r="Q80" s="45">
        <f>$B$8*$B$6*(IF(EOMONTH(in_PODate,0)=EOMONTH(Q$23,0),in_Deposit,0)+IF(EOMONTH(in_BalanceDate,0)=EOMONTH(Q$23,0),1-in_Deposit,0))-IF(EOMONTH(in_PODate,0)=EOMONTH(Q$23,0),$B$10,0)</f>
        <v/>
      </c>
      <c r="R80" s="46">
        <f>SUM(C80:Q80)</f>
        <v/>
      </c>
    </row>
    <row r="81">
      <c r="A81" s="10" t="inlineStr">
        <is>
          <t>First protein stick run (deposit, then balance)</t>
        </is>
      </c>
      <c r="C81" s="45">
        <f>$B$9*$B$7*(IF(EOMONTH(in_PODate,0)=EOMONTH(C$23,0),in_Deposit,0)+IF(EOMONTH(in_BalanceDate,0)=EOMONTH(C$23,0),1-in_Deposit,0))</f>
        <v/>
      </c>
      <c r="D81" s="45">
        <f>$B$9*$B$7*(IF(EOMONTH(in_PODate,0)=EOMONTH(D$23,0),in_Deposit,0)+IF(EOMONTH(in_BalanceDate,0)=EOMONTH(D$23,0),1-in_Deposit,0))</f>
        <v/>
      </c>
      <c r="E81" s="45">
        <f>$B$9*$B$7*(IF(EOMONTH(in_PODate,0)=EOMONTH(E$23,0),in_Deposit,0)+IF(EOMONTH(in_BalanceDate,0)=EOMONTH(E$23,0),1-in_Deposit,0))</f>
        <v/>
      </c>
      <c r="F81" s="45">
        <f>$B$9*$B$7*(IF(EOMONTH(in_PODate,0)=EOMONTH(F$23,0),in_Deposit,0)+IF(EOMONTH(in_BalanceDate,0)=EOMONTH(F$23,0),1-in_Deposit,0))</f>
        <v/>
      </c>
      <c r="G81" s="45">
        <f>$B$9*$B$7*(IF(EOMONTH(in_PODate,0)=EOMONTH(G$23,0),in_Deposit,0)+IF(EOMONTH(in_BalanceDate,0)=EOMONTH(G$23,0),1-in_Deposit,0))</f>
        <v/>
      </c>
      <c r="H81" s="45">
        <f>$B$9*$B$7*(IF(EOMONTH(in_PODate,0)=EOMONTH(H$23,0),in_Deposit,0)+IF(EOMONTH(in_BalanceDate,0)=EOMONTH(H$23,0),1-in_Deposit,0))</f>
        <v/>
      </c>
      <c r="I81" s="45">
        <f>$B$9*$B$7*(IF(EOMONTH(in_PODate,0)=EOMONTH(I$23,0),in_Deposit,0)+IF(EOMONTH(in_BalanceDate,0)=EOMONTH(I$23,0),1-in_Deposit,0))</f>
        <v/>
      </c>
      <c r="J81" s="45">
        <f>$B$9*$B$7*(IF(EOMONTH(in_PODate,0)=EOMONTH(J$23,0),in_Deposit,0)+IF(EOMONTH(in_BalanceDate,0)=EOMONTH(J$23,0),1-in_Deposit,0))</f>
        <v/>
      </c>
      <c r="K81" s="45">
        <f>$B$9*$B$7*(IF(EOMONTH(in_PODate,0)=EOMONTH(K$23,0),in_Deposit,0)+IF(EOMONTH(in_BalanceDate,0)=EOMONTH(K$23,0),1-in_Deposit,0))</f>
        <v/>
      </c>
      <c r="L81" s="45">
        <f>$B$9*$B$7*(IF(EOMONTH(in_PODate,0)=EOMONTH(L$23,0),in_Deposit,0)+IF(EOMONTH(in_BalanceDate,0)=EOMONTH(L$23,0),1-in_Deposit,0))</f>
        <v/>
      </c>
      <c r="M81" s="45">
        <f>$B$9*$B$7*(IF(EOMONTH(in_PODate,0)=EOMONTH(M$23,0),in_Deposit,0)+IF(EOMONTH(in_BalanceDate,0)=EOMONTH(M$23,0),1-in_Deposit,0))</f>
        <v/>
      </c>
      <c r="N81" s="45">
        <f>$B$9*$B$7*(IF(EOMONTH(in_PODate,0)=EOMONTH(N$23,0),in_Deposit,0)+IF(EOMONTH(in_BalanceDate,0)=EOMONTH(N$23,0),1-in_Deposit,0))</f>
        <v/>
      </c>
      <c r="O81" s="45">
        <f>$B$9*$B$7*(IF(EOMONTH(in_PODate,0)=EOMONTH(O$23,0),in_Deposit,0)+IF(EOMONTH(in_BalanceDate,0)=EOMONTH(O$23,0),1-in_Deposit,0))</f>
        <v/>
      </c>
      <c r="P81" s="45">
        <f>$B$9*$B$7*(IF(EOMONTH(in_PODate,0)=EOMONTH(P$23,0),in_Deposit,0)+IF(EOMONTH(in_BalanceDate,0)=EOMONTH(P$23,0),1-in_Deposit,0))</f>
        <v/>
      </c>
      <c r="Q81" s="45">
        <f>$B$9*$B$7*(IF(EOMONTH(in_PODate,0)=EOMONTH(Q$23,0),in_Deposit,0)+IF(EOMONTH(in_BalanceDate,0)=EOMONTH(Q$23,0),1-in_Deposit,0))</f>
        <v/>
      </c>
      <c r="R81" s="46">
        <f>SUM(C81:Q81)</f>
        <v/>
      </c>
    </row>
    <row r="82">
      <c r="A82" s="10" t="inlineStr">
        <is>
          <t>Second flavour first run</t>
        </is>
      </c>
      <c r="C82" s="45">
        <f>C49*$B$6</f>
        <v/>
      </c>
      <c r="D82" s="45">
        <f>D49*$B$6</f>
        <v/>
      </c>
      <c r="E82" s="45">
        <f>E49*$B$6</f>
        <v/>
      </c>
      <c r="F82" s="45">
        <f>F49*$B$6</f>
        <v/>
      </c>
      <c r="G82" s="45">
        <f>G49*$B$6</f>
        <v/>
      </c>
      <c r="H82" s="45">
        <f>H49*$B$6</f>
        <v/>
      </c>
      <c r="I82" s="45">
        <f>I49*$B$6</f>
        <v/>
      </c>
      <c r="J82" s="45">
        <f>J49*$B$6</f>
        <v/>
      </c>
      <c r="K82" s="45">
        <f>K49*$B$6</f>
        <v/>
      </c>
      <c r="L82" s="45">
        <f>L49*$B$6</f>
        <v/>
      </c>
      <c r="M82" s="45">
        <f>M49*$B$6</f>
        <v/>
      </c>
      <c r="N82" s="45">
        <f>N49*$B$6</f>
        <v/>
      </c>
      <c r="O82" s="45">
        <f>O49*$B$6</f>
        <v/>
      </c>
      <c r="P82" s="45">
        <f>P49*$B$6</f>
        <v/>
      </c>
      <c r="Q82" s="45">
        <f>Q49*$B$6</f>
        <v/>
      </c>
      <c r="R82" s="46">
        <f>SUM(C82:Q82)</f>
        <v/>
      </c>
    </row>
    <row r="83">
      <c r="A83" s="10" t="inlineStr">
        <is>
          <t>Reorders placed (pouches and sticks, paid in full when placed)</t>
        </is>
      </c>
      <c r="C83" s="45">
        <f>C52*$B$6+C63*$B$7</f>
        <v/>
      </c>
      <c r="D83" s="45">
        <f>D52*$B$6+D63*$B$7</f>
        <v/>
      </c>
      <c r="E83" s="45">
        <f>E52*$B$6+E63*$B$7</f>
        <v/>
      </c>
      <c r="F83" s="45">
        <f>F52*$B$6+F63*$B$7</f>
        <v/>
      </c>
      <c r="G83" s="45">
        <f>G52*$B$6+G63*$B$7</f>
        <v/>
      </c>
      <c r="H83" s="45">
        <f>H52*$B$6+H63*$B$7</f>
        <v/>
      </c>
      <c r="I83" s="45">
        <f>I52*$B$6+I63*$B$7</f>
        <v/>
      </c>
      <c r="J83" s="45">
        <f>J52*$B$6+J63*$B$7</f>
        <v/>
      </c>
      <c r="K83" s="45">
        <f>K52*$B$6+K63*$B$7</f>
        <v/>
      </c>
      <c r="L83" s="45">
        <f>L52*$B$6+L63*$B$7</f>
        <v/>
      </c>
      <c r="M83" s="45">
        <f>M52*$B$6+M63*$B$7</f>
        <v/>
      </c>
      <c r="N83" s="45">
        <f>N52*$B$6+N63*$B$7</f>
        <v/>
      </c>
      <c r="O83" s="45">
        <f>O52*$B$6+O63*$B$7</f>
        <v/>
      </c>
      <c r="P83" s="45">
        <f>P52*$B$6+P63*$B$7</f>
        <v/>
      </c>
      <c r="Q83" s="45">
        <f>Q52*$B$6+Q63*$B$7</f>
        <v/>
      </c>
      <c r="R83" s="46">
        <f>SUM(C83:Q83)</f>
        <v/>
      </c>
    </row>
    <row r="84">
      <c r="A84" s="26" t="inlineStr">
        <is>
          <t>Total inventory purchases</t>
        </is>
      </c>
      <c r="C84" s="47">
        <f>SUM(C80:C83)</f>
        <v/>
      </c>
      <c r="D84" s="47">
        <f>SUM(D80:D83)</f>
        <v/>
      </c>
      <c r="E84" s="47">
        <f>SUM(E80:E83)</f>
        <v/>
      </c>
      <c r="F84" s="47">
        <f>SUM(F80:F83)</f>
        <v/>
      </c>
      <c r="G84" s="47">
        <f>SUM(G80:G83)</f>
        <v/>
      </c>
      <c r="H84" s="47">
        <f>SUM(H80:H83)</f>
        <v/>
      </c>
      <c r="I84" s="47">
        <f>SUM(I80:I83)</f>
        <v/>
      </c>
      <c r="J84" s="47">
        <f>SUM(J80:J83)</f>
        <v/>
      </c>
      <c r="K84" s="47">
        <f>SUM(K80:K83)</f>
        <v/>
      </c>
      <c r="L84" s="47">
        <f>SUM(L80:L83)</f>
        <v/>
      </c>
      <c r="M84" s="47">
        <f>SUM(M80:M83)</f>
        <v/>
      </c>
      <c r="N84" s="47">
        <f>SUM(N80:N83)</f>
        <v/>
      </c>
      <c r="O84" s="47">
        <f>SUM(O80:O83)</f>
        <v/>
      </c>
      <c r="P84" s="47">
        <f>SUM(P80:P83)</f>
        <v/>
      </c>
      <c r="Q84" s="47">
        <f>SUM(Q80:Q83)</f>
        <v/>
      </c>
      <c r="R84" s="46">
        <f>SUM(C84:Q84)</f>
        <v/>
      </c>
    </row>
    <row r="86">
      <c r="A86" s="7" t="inlineStr">
        <is>
          <t>Variable costs (cash out)</t>
        </is>
      </c>
      <c r="B86" s="8" t="n"/>
      <c r="C86" s="8" t="n"/>
      <c r="D86" s="8" t="n"/>
      <c r="E86" s="8" t="n"/>
      <c r="F86" s="8" t="n"/>
      <c r="G86" s="8" t="n"/>
      <c r="H86" s="8" t="n"/>
      <c r="I86" s="8" t="n"/>
      <c r="J86" s="8" t="n"/>
      <c r="K86" s="8" t="n"/>
      <c r="L86" s="8" t="n"/>
      <c r="M86" s="8" t="n"/>
      <c r="N86" s="8" t="n"/>
      <c r="O86" s="8" t="n"/>
      <c r="P86" s="8" t="n"/>
      <c r="Q86" s="8" t="n"/>
      <c r="R86" s="8" t="n"/>
    </row>
    <row r="87">
      <c r="A87" s="10" t="inlineStr">
        <is>
          <t>DTC shipping and packing</t>
        </is>
      </c>
      <c r="C87" s="45">
        <f>(C36+C37)*in_ShipOrder</f>
        <v/>
      </c>
      <c r="D87" s="45">
        <f>(D36+D37)*in_ShipOrder</f>
        <v/>
      </c>
      <c r="E87" s="45">
        <f>(E36+E37)*in_ShipOrder</f>
        <v/>
      </c>
      <c r="F87" s="45">
        <f>(F36+F37)*in_ShipOrder</f>
        <v/>
      </c>
      <c r="G87" s="45">
        <f>(G36+G37)*in_ShipOrder</f>
        <v/>
      </c>
      <c r="H87" s="45">
        <f>(H36+H37)*in_ShipOrder</f>
        <v/>
      </c>
      <c r="I87" s="45">
        <f>(I36+I37)*in_ShipOrder</f>
        <v/>
      </c>
      <c r="J87" s="45">
        <f>(J36+J37)*in_ShipOrder</f>
        <v/>
      </c>
      <c r="K87" s="45">
        <f>(K36+K37)*in_ShipOrder</f>
        <v/>
      </c>
      <c r="L87" s="45">
        <f>(L36+L37)*in_ShipOrder</f>
        <v/>
      </c>
      <c r="M87" s="45">
        <f>(M36+M37)*in_ShipOrder</f>
        <v/>
      </c>
      <c r="N87" s="45">
        <f>(N36+N37)*in_ShipOrder</f>
        <v/>
      </c>
      <c r="O87" s="45">
        <f>(O36+O37)*in_ShipOrder</f>
        <v/>
      </c>
      <c r="P87" s="45">
        <f>(P36+P37)*in_ShipOrder</f>
        <v/>
      </c>
      <c r="Q87" s="45">
        <f>(Q36+Q37)*in_ShipOrder</f>
        <v/>
      </c>
      <c r="R87" s="46">
        <f>SUM(C87:Q87)</f>
        <v/>
      </c>
    </row>
    <row r="88">
      <c r="A88" s="10" t="inlineStr">
        <is>
          <t>Freight to stores</t>
        </is>
      </c>
      <c r="C88" s="45">
        <f>C42*in_FreightPouch+C43*in_FreightStick</f>
        <v/>
      </c>
      <c r="D88" s="45">
        <f>D42*in_FreightPouch+D43*in_FreightStick</f>
        <v/>
      </c>
      <c r="E88" s="45">
        <f>E42*in_FreightPouch+E43*in_FreightStick</f>
        <v/>
      </c>
      <c r="F88" s="45">
        <f>F42*in_FreightPouch+F43*in_FreightStick</f>
        <v/>
      </c>
      <c r="G88" s="45">
        <f>G42*in_FreightPouch+G43*in_FreightStick</f>
        <v/>
      </c>
      <c r="H88" s="45">
        <f>H42*in_FreightPouch+H43*in_FreightStick</f>
        <v/>
      </c>
      <c r="I88" s="45">
        <f>I42*in_FreightPouch+I43*in_FreightStick</f>
        <v/>
      </c>
      <c r="J88" s="45">
        <f>J42*in_FreightPouch+J43*in_FreightStick</f>
        <v/>
      </c>
      <c r="K88" s="45">
        <f>K42*in_FreightPouch+K43*in_FreightStick</f>
        <v/>
      </c>
      <c r="L88" s="45">
        <f>L42*in_FreightPouch+L43*in_FreightStick</f>
        <v/>
      </c>
      <c r="M88" s="45">
        <f>M42*in_FreightPouch+M43*in_FreightStick</f>
        <v/>
      </c>
      <c r="N88" s="45">
        <f>N42*in_FreightPouch+N43*in_FreightStick</f>
        <v/>
      </c>
      <c r="O88" s="45">
        <f>O42*in_FreightPouch+O43*in_FreightStick</f>
        <v/>
      </c>
      <c r="P88" s="45">
        <f>P42*in_FreightPouch+P43*in_FreightStick</f>
        <v/>
      </c>
      <c r="Q88" s="45">
        <f>Q42*in_FreightPouch+Q43*in_FreightStick</f>
        <v/>
      </c>
      <c r="R88" s="46">
        <f>SUM(C88:Q88)</f>
        <v/>
      </c>
    </row>
    <row r="89">
      <c r="A89" s="10" t="inlineStr">
        <is>
          <t>Card fees</t>
        </is>
      </c>
      <c r="C89" s="45">
        <f>C74*in_CardPct+(C36+C37)*in_CardFixed</f>
        <v/>
      </c>
      <c r="D89" s="45">
        <f>D74*in_CardPct+(D36+D37)*in_CardFixed</f>
        <v/>
      </c>
      <c r="E89" s="45">
        <f>E74*in_CardPct+(E36+E37)*in_CardFixed</f>
        <v/>
      </c>
      <c r="F89" s="45">
        <f>F74*in_CardPct+(F36+F37)*in_CardFixed</f>
        <v/>
      </c>
      <c r="G89" s="45">
        <f>G74*in_CardPct+(G36+G37)*in_CardFixed</f>
        <v/>
      </c>
      <c r="H89" s="45">
        <f>H74*in_CardPct+(H36+H37)*in_CardFixed</f>
        <v/>
      </c>
      <c r="I89" s="45">
        <f>I74*in_CardPct+(I36+I37)*in_CardFixed</f>
        <v/>
      </c>
      <c r="J89" s="45">
        <f>J74*in_CardPct+(J36+J37)*in_CardFixed</f>
        <v/>
      </c>
      <c r="K89" s="45">
        <f>K74*in_CardPct+(K36+K37)*in_CardFixed</f>
        <v/>
      </c>
      <c r="L89" s="45">
        <f>L74*in_CardPct+(L36+L37)*in_CardFixed</f>
        <v/>
      </c>
      <c r="M89" s="45">
        <f>M74*in_CardPct+(M36+M37)*in_CardFixed</f>
        <v/>
      </c>
      <c r="N89" s="45">
        <f>N74*in_CardPct+(N36+N37)*in_CardFixed</f>
        <v/>
      </c>
      <c r="O89" s="45">
        <f>O74*in_CardPct+(O36+O37)*in_CardFixed</f>
        <v/>
      </c>
      <c r="P89" s="45">
        <f>P74*in_CardPct+(P36+P37)*in_CardFixed</f>
        <v/>
      </c>
      <c r="Q89" s="45">
        <f>Q74*in_CardPct+(Q36+Q37)*in_CardFixed</f>
        <v/>
      </c>
      <c r="R89" s="46">
        <f>SUM(C89:Q89)</f>
        <v/>
      </c>
    </row>
    <row r="90">
      <c r="A90" s="10" t="inlineStr">
        <is>
          <t>Founding offer free shakers</t>
        </is>
      </c>
      <c r="C90" s="45">
        <f>C27*in_ShakerCost</f>
        <v/>
      </c>
      <c r="D90" s="45">
        <f>D27*in_ShakerCost</f>
        <v/>
      </c>
      <c r="E90" s="45">
        <f>E27*in_ShakerCost</f>
        <v/>
      </c>
      <c r="F90" s="45">
        <f>F27*in_ShakerCost</f>
        <v/>
      </c>
      <c r="G90" s="45">
        <f>G27*in_ShakerCost</f>
        <v/>
      </c>
      <c r="H90" s="45">
        <f>H27*in_ShakerCost</f>
        <v/>
      </c>
      <c r="I90" s="45">
        <f>I27*in_ShakerCost</f>
        <v/>
      </c>
      <c r="J90" s="45">
        <f>J27*in_ShakerCost</f>
        <v/>
      </c>
      <c r="K90" s="45">
        <f>K27*in_ShakerCost</f>
        <v/>
      </c>
      <c r="L90" s="45">
        <f>L27*in_ShakerCost</f>
        <v/>
      </c>
      <c r="M90" s="45">
        <f>M27*in_ShakerCost</f>
        <v/>
      </c>
      <c r="N90" s="45">
        <f>N27*in_ShakerCost</f>
        <v/>
      </c>
      <c r="O90" s="45">
        <f>O27*in_ShakerCost</f>
        <v/>
      </c>
      <c r="P90" s="45">
        <f>P27*in_ShakerCost</f>
        <v/>
      </c>
      <c r="Q90" s="45">
        <f>Q27*in_ShakerCost</f>
        <v/>
      </c>
      <c r="R90" s="46">
        <f>SUM(C90:Q90)</f>
        <v/>
      </c>
    </row>
    <row r="91">
      <c r="A91" s="26" t="inlineStr">
        <is>
          <t>Total variable costs</t>
        </is>
      </c>
      <c r="C91" s="47">
        <f>SUM(C87:C90)</f>
        <v/>
      </c>
      <c r="D91" s="47">
        <f>SUM(D87:D90)</f>
        <v/>
      </c>
      <c r="E91" s="47">
        <f>SUM(E87:E90)</f>
        <v/>
      </c>
      <c r="F91" s="47">
        <f>SUM(F87:F90)</f>
        <v/>
      </c>
      <c r="G91" s="47">
        <f>SUM(G87:G90)</f>
        <v/>
      </c>
      <c r="H91" s="47">
        <f>SUM(H87:H90)</f>
        <v/>
      </c>
      <c r="I91" s="47">
        <f>SUM(I87:I90)</f>
        <v/>
      </c>
      <c r="J91" s="47">
        <f>SUM(J87:J90)</f>
        <v/>
      </c>
      <c r="K91" s="47">
        <f>SUM(K87:K90)</f>
        <v/>
      </c>
      <c r="L91" s="47">
        <f>SUM(L87:L90)</f>
        <v/>
      </c>
      <c r="M91" s="47">
        <f>SUM(M87:M90)</f>
        <v/>
      </c>
      <c r="N91" s="47">
        <f>SUM(N87:N90)</f>
        <v/>
      </c>
      <c r="O91" s="47">
        <f>SUM(O87:O90)</f>
        <v/>
      </c>
      <c r="P91" s="47">
        <f>SUM(P87:P90)</f>
        <v/>
      </c>
      <c r="Q91" s="47">
        <f>SUM(Q87:Q90)</f>
        <v/>
      </c>
      <c r="R91" s="46">
        <f>SUM(C91:Q91)</f>
        <v/>
      </c>
    </row>
    <row r="93">
      <c r="A93" s="7" t="inlineStr">
        <is>
          <t>Marketing (cash out)</t>
        </is>
      </c>
      <c r="B93" s="8" t="n"/>
      <c r="C93" s="8" t="n"/>
      <c r="D93" s="8" t="n"/>
      <c r="E93" s="8" t="n"/>
      <c r="F93" s="8" t="n"/>
      <c r="G93" s="8" t="n"/>
      <c r="H93" s="8" t="n"/>
      <c r="I93" s="8" t="n"/>
      <c r="J93" s="8" t="n"/>
      <c r="K93" s="8" t="n"/>
      <c r="L93" s="8" t="n"/>
      <c r="M93" s="8" t="n"/>
      <c r="N93" s="8" t="n"/>
      <c r="O93" s="8" t="n"/>
      <c r="P93" s="8" t="n"/>
      <c r="Q93" s="8" t="n"/>
      <c r="R93" s="8" t="n"/>
    </row>
    <row r="94">
      <c r="A94" s="10" t="inlineStr">
        <is>
          <t>Paid acquisition (paid new customers x CAC)</t>
        </is>
      </c>
      <c r="C94" s="45">
        <f>C29*in_CAC</f>
        <v/>
      </c>
      <c r="D94" s="45">
        <f>D29*in_CAC</f>
        <v/>
      </c>
      <c r="E94" s="45">
        <f>E29*in_CAC</f>
        <v/>
      </c>
      <c r="F94" s="45">
        <f>F29*in_CAC</f>
        <v/>
      </c>
      <c r="G94" s="45">
        <f>G29*in_CAC</f>
        <v/>
      </c>
      <c r="H94" s="45">
        <f>H29*in_CAC</f>
        <v/>
      </c>
      <c r="I94" s="45">
        <f>I29*in_CAC</f>
        <v/>
      </c>
      <c r="J94" s="45">
        <f>J29*in_CAC</f>
        <v/>
      </c>
      <c r="K94" s="45">
        <f>K29*in_CAC</f>
        <v/>
      </c>
      <c r="L94" s="45">
        <f>L29*in_CAC</f>
        <v/>
      </c>
      <c r="M94" s="45">
        <f>M29*in_CAC</f>
        <v/>
      </c>
      <c r="N94" s="45">
        <f>N29*in_CAC</f>
        <v/>
      </c>
      <c r="O94" s="45">
        <f>O29*in_CAC</f>
        <v/>
      </c>
      <c r="P94" s="45">
        <f>P29*in_CAC</f>
        <v/>
      </c>
      <c r="Q94" s="45">
        <f>Q29*in_CAC</f>
        <v/>
      </c>
      <c r="R94" s="46">
        <f>SUM(C94:Q94)</f>
        <v/>
      </c>
    </row>
    <row r="95">
      <c r="A95" s="10" t="inlineStr">
        <is>
          <t>Sampling and content</t>
        </is>
      </c>
      <c r="C95" s="45">
        <f>IF(C$23&gt;=DATE(YEAR(in_SampleStart),MONTH(in_SampleStart),1),in_SampleBudget,0)</f>
        <v/>
      </c>
      <c r="D95" s="45">
        <f>IF(D$23&gt;=DATE(YEAR(in_SampleStart),MONTH(in_SampleStart),1),in_SampleBudget,0)</f>
        <v/>
      </c>
      <c r="E95" s="45">
        <f>IF(E$23&gt;=DATE(YEAR(in_SampleStart),MONTH(in_SampleStart),1),in_SampleBudget,0)</f>
        <v/>
      </c>
      <c r="F95" s="45">
        <f>IF(F$23&gt;=DATE(YEAR(in_SampleStart),MONTH(in_SampleStart),1),in_SampleBudget,0)</f>
        <v/>
      </c>
      <c r="G95" s="45">
        <f>IF(G$23&gt;=DATE(YEAR(in_SampleStart),MONTH(in_SampleStart),1),in_SampleBudget,0)</f>
        <v/>
      </c>
      <c r="H95" s="45">
        <f>IF(H$23&gt;=DATE(YEAR(in_SampleStart),MONTH(in_SampleStart),1),in_SampleBudget,0)</f>
        <v/>
      </c>
      <c r="I95" s="45">
        <f>IF(I$23&gt;=DATE(YEAR(in_SampleStart),MONTH(in_SampleStart),1),in_SampleBudget,0)</f>
        <v/>
      </c>
      <c r="J95" s="45">
        <f>IF(J$23&gt;=DATE(YEAR(in_SampleStart),MONTH(in_SampleStart),1),in_SampleBudget,0)</f>
        <v/>
      </c>
      <c r="K95" s="45">
        <f>IF(K$23&gt;=DATE(YEAR(in_SampleStart),MONTH(in_SampleStart),1),in_SampleBudget,0)</f>
        <v/>
      </c>
      <c r="L95" s="45">
        <f>IF(L$23&gt;=DATE(YEAR(in_SampleStart),MONTH(in_SampleStart),1),in_SampleBudget,0)</f>
        <v/>
      </c>
      <c r="M95" s="45">
        <f>IF(M$23&gt;=DATE(YEAR(in_SampleStart),MONTH(in_SampleStart),1),in_SampleBudget,0)</f>
        <v/>
      </c>
      <c r="N95" s="45">
        <f>IF(N$23&gt;=DATE(YEAR(in_SampleStart),MONTH(in_SampleStart),1),in_SampleBudget,0)</f>
        <v/>
      </c>
      <c r="O95" s="45">
        <f>IF(O$23&gt;=DATE(YEAR(in_SampleStart),MONTH(in_SampleStart),1),in_SampleBudget,0)</f>
        <v/>
      </c>
      <c r="P95" s="45">
        <f>IF(P$23&gt;=DATE(YEAR(in_SampleStart),MONTH(in_SampleStart),1),in_SampleBudget,0)</f>
        <v/>
      </c>
      <c r="Q95" s="45">
        <f>IF(Q$23&gt;=DATE(YEAR(in_SampleStart),MONTH(in_SampleStart),1),in_SampleBudget,0)</f>
        <v/>
      </c>
      <c r="R95" s="46">
        <f>SUM(C95:Q95)</f>
        <v/>
      </c>
    </row>
    <row r="96">
      <c r="A96" s="26" t="inlineStr">
        <is>
          <t>Total marketing</t>
        </is>
      </c>
      <c r="C96" s="47">
        <f>C94+C95</f>
        <v/>
      </c>
      <c r="D96" s="47">
        <f>D94+D95</f>
        <v/>
      </c>
      <c r="E96" s="47">
        <f>E94+E95</f>
        <v/>
      </c>
      <c r="F96" s="47">
        <f>F94+F95</f>
        <v/>
      </c>
      <c r="G96" s="47">
        <f>G94+G95</f>
        <v/>
      </c>
      <c r="H96" s="47">
        <f>H94+H95</f>
        <v/>
      </c>
      <c r="I96" s="47">
        <f>I94+I95</f>
        <v/>
      </c>
      <c r="J96" s="47">
        <f>J94+J95</f>
        <v/>
      </c>
      <c r="K96" s="47">
        <f>K94+K95</f>
        <v/>
      </c>
      <c r="L96" s="47">
        <f>L94+L95</f>
        <v/>
      </c>
      <c r="M96" s="47">
        <f>M94+M95</f>
        <v/>
      </c>
      <c r="N96" s="47">
        <f>N94+N95</f>
        <v/>
      </c>
      <c r="O96" s="47">
        <f>O94+O95</f>
        <v/>
      </c>
      <c r="P96" s="47">
        <f>P94+P95</f>
        <v/>
      </c>
      <c r="Q96" s="47">
        <f>Q94+Q95</f>
        <v/>
      </c>
      <c r="R96" s="46">
        <f>SUM(C96:Q96)</f>
        <v/>
      </c>
    </row>
    <row r="98">
      <c r="A98" s="7" t="inlineStr">
        <is>
          <t>Fixed costs (cash out)</t>
        </is>
      </c>
      <c r="B98" s="8" t="n"/>
      <c r="C98" s="8" t="n"/>
      <c r="D98" s="8" t="n"/>
      <c r="E98" s="8" t="n"/>
      <c r="F98" s="8" t="n"/>
      <c r="G98" s="8" t="n"/>
      <c r="H98" s="8" t="n"/>
      <c r="I98" s="8" t="n"/>
      <c r="J98" s="8" t="n"/>
      <c r="K98" s="8" t="n"/>
      <c r="L98" s="8" t="n"/>
      <c r="M98" s="8" t="n"/>
      <c r="N98" s="8" t="n"/>
      <c r="O98" s="8" t="n"/>
      <c r="P98" s="8" t="n"/>
      <c r="Q98" s="8" t="n"/>
      <c r="R98" s="8" t="n"/>
    </row>
    <row r="99">
      <c r="A99" s="10" t="inlineStr">
        <is>
          <t>Shopify Basic</t>
        </is>
      </c>
      <c r="C99" s="45">
        <f>IF(C$23&gt;=DATE(YEAR(in_FxShopify_Start),MONTH(in_FxShopify_Start),1),in_FxShopify,0)</f>
        <v/>
      </c>
      <c r="D99" s="45">
        <f>IF(D$23&gt;=DATE(YEAR(in_FxShopify_Start),MONTH(in_FxShopify_Start),1),in_FxShopify,0)</f>
        <v/>
      </c>
      <c r="E99" s="45">
        <f>IF(E$23&gt;=DATE(YEAR(in_FxShopify_Start),MONTH(in_FxShopify_Start),1),in_FxShopify,0)</f>
        <v/>
      </c>
      <c r="F99" s="45">
        <f>IF(F$23&gt;=DATE(YEAR(in_FxShopify_Start),MONTH(in_FxShopify_Start),1),in_FxShopify,0)</f>
        <v/>
      </c>
      <c r="G99" s="45">
        <f>IF(G$23&gt;=DATE(YEAR(in_FxShopify_Start),MONTH(in_FxShopify_Start),1),in_FxShopify,0)</f>
        <v/>
      </c>
      <c r="H99" s="45">
        <f>IF(H$23&gt;=DATE(YEAR(in_FxShopify_Start),MONTH(in_FxShopify_Start),1),in_FxShopify,0)</f>
        <v/>
      </c>
      <c r="I99" s="45">
        <f>IF(I$23&gt;=DATE(YEAR(in_FxShopify_Start),MONTH(in_FxShopify_Start),1),in_FxShopify,0)</f>
        <v/>
      </c>
      <c r="J99" s="45">
        <f>IF(J$23&gt;=DATE(YEAR(in_FxShopify_Start),MONTH(in_FxShopify_Start),1),in_FxShopify,0)</f>
        <v/>
      </c>
      <c r="K99" s="45">
        <f>IF(K$23&gt;=DATE(YEAR(in_FxShopify_Start),MONTH(in_FxShopify_Start),1),in_FxShopify,0)</f>
        <v/>
      </c>
      <c r="L99" s="45">
        <f>IF(L$23&gt;=DATE(YEAR(in_FxShopify_Start),MONTH(in_FxShopify_Start),1),in_FxShopify,0)</f>
        <v/>
      </c>
      <c r="M99" s="45">
        <f>IF(M$23&gt;=DATE(YEAR(in_FxShopify_Start),MONTH(in_FxShopify_Start),1),in_FxShopify,0)</f>
        <v/>
      </c>
      <c r="N99" s="45">
        <f>IF(N$23&gt;=DATE(YEAR(in_FxShopify_Start),MONTH(in_FxShopify_Start),1),in_FxShopify,0)</f>
        <v/>
      </c>
      <c r="O99" s="45">
        <f>IF(O$23&gt;=DATE(YEAR(in_FxShopify_Start),MONTH(in_FxShopify_Start),1),in_FxShopify,0)</f>
        <v/>
      </c>
      <c r="P99" s="45">
        <f>IF(P$23&gt;=DATE(YEAR(in_FxShopify_Start),MONTH(in_FxShopify_Start),1),in_FxShopify,0)</f>
        <v/>
      </c>
      <c r="Q99" s="45">
        <f>IF(Q$23&gt;=DATE(YEAR(in_FxShopify_Start),MONTH(in_FxShopify_Start),1),in_FxShopify,0)</f>
        <v/>
      </c>
      <c r="R99" s="46">
        <f>SUM(C99:Q99)</f>
        <v/>
      </c>
    </row>
    <row r="100">
      <c r="A100" s="10" t="inlineStr">
        <is>
          <t>Klaviyo email</t>
        </is>
      </c>
      <c r="C100" s="45">
        <f>IF(C$23&gt;=DATE(YEAR(in_FxKlaviyo_Start),MONTH(in_FxKlaviyo_Start),1),in_FxKlaviyo,0)</f>
        <v/>
      </c>
      <c r="D100" s="45">
        <f>IF(D$23&gt;=DATE(YEAR(in_FxKlaviyo_Start),MONTH(in_FxKlaviyo_Start),1),in_FxKlaviyo,0)</f>
        <v/>
      </c>
      <c r="E100" s="45">
        <f>IF(E$23&gt;=DATE(YEAR(in_FxKlaviyo_Start),MONTH(in_FxKlaviyo_Start),1),in_FxKlaviyo,0)</f>
        <v/>
      </c>
      <c r="F100" s="45">
        <f>IF(F$23&gt;=DATE(YEAR(in_FxKlaviyo_Start),MONTH(in_FxKlaviyo_Start),1),in_FxKlaviyo,0)</f>
        <v/>
      </c>
      <c r="G100" s="45">
        <f>IF(G$23&gt;=DATE(YEAR(in_FxKlaviyo_Start),MONTH(in_FxKlaviyo_Start),1),in_FxKlaviyo,0)</f>
        <v/>
      </c>
      <c r="H100" s="45">
        <f>IF(H$23&gt;=DATE(YEAR(in_FxKlaviyo_Start),MONTH(in_FxKlaviyo_Start),1),in_FxKlaviyo,0)</f>
        <v/>
      </c>
      <c r="I100" s="45">
        <f>IF(I$23&gt;=DATE(YEAR(in_FxKlaviyo_Start),MONTH(in_FxKlaviyo_Start),1),in_FxKlaviyo,0)</f>
        <v/>
      </c>
      <c r="J100" s="45">
        <f>IF(J$23&gt;=DATE(YEAR(in_FxKlaviyo_Start),MONTH(in_FxKlaviyo_Start),1),in_FxKlaviyo,0)</f>
        <v/>
      </c>
      <c r="K100" s="45">
        <f>IF(K$23&gt;=DATE(YEAR(in_FxKlaviyo_Start),MONTH(in_FxKlaviyo_Start),1),in_FxKlaviyo,0)</f>
        <v/>
      </c>
      <c r="L100" s="45">
        <f>IF(L$23&gt;=DATE(YEAR(in_FxKlaviyo_Start),MONTH(in_FxKlaviyo_Start),1),in_FxKlaviyo,0)</f>
        <v/>
      </c>
      <c r="M100" s="45">
        <f>IF(M$23&gt;=DATE(YEAR(in_FxKlaviyo_Start),MONTH(in_FxKlaviyo_Start),1),in_FxKlaviyo,0)</f>
        <v/>
      </c>
      <c r="N100" s="45">
        <f>IF(N$23&gt;=DATE(YEAR(in_FxKlaviyo_Start),MONTH(in_FxKlaviyo_Start),1),in_FxKlaviyo,0)</f>
        <v/>
      </c>
      <c r="O100" s="45">
        <f>IF(O$23&gt;=DATE(YEAR(in_FxKlaviyo_Start),MONTH(in_FxKlaviyo_Start),1),in_FxKlaviyo,0)</f>
        <v/>
      </c>
      <c r="P100" s="45">
        <f>IF(P$23&gt;=DATE(YEAR(in_FxKlaviyo_Start),MONTH(in_FxKlaviyo_Start),1),in_FxKlaviyo,0)</f>
        <v/>
      </c>
      <c r="Q100" s="45">
        <f>IF(Q$23&gt;=DATE(YEAR(in_FxKlaviyo_Start),MONTH(in_FxKlaviyo_Start),1),in_FxKlaviyo,0)</f>
        <v/>
      </c>
      <c r="R100" s="46">
        <f>SUM(C100:Q100)</f>
        <v/>
      </c>
    </row>
    <row r="101">
      <c r="A101" s="10" t="inlineStr">
        <is>
          <t>Product liability insurance</t>
        </is>
      </c>
      <c r="C101" s="45">
        <f>IF(C$23&gt;=DATE(YEAR(in_FxInsurance_Start),MONTH(in_FxInsurance_Start),1),in_FxInsurance,0)</f>
        <v/>
      </c>
      <c r="D101" s="45">
        <f>IF(D$23&gt;=DATE(YEAR(in_FxInsurance_Start),MONTH(in_FxInsurance_Start),1),in_FxInsurance,0)</f>
        <v/>
      </c>
      <c r="E101" s="45">
        <f>IF(E$23&gt;=DATE(YEAR(in_FxInsurance_Start),MONTH(in_FxInsurance_Start),1),in_FxInsurance,0)</f>
        <v/>
      </c>
      <c r="F101" s="45">
        <f>IF(F$23&gt;=DATE(YEAR(in_FxInsurance_Start),MONTH(in_FxInsurance_Start),1),in_FxInsurance,0)</f>
        <v/>
      </c>
      <c r="G101" s="45">
        <f>IF(G$23&gt;=DATE(YEAR(in_FxInsurance_Start),MONTH(in_FxInsurance_Start),1),in_FxInsurance,0)</f>
        <v/>
      </c>
      <c r="H101" s="45">
        <f>IF(H$23&gt;=DATE(YEAR(in_FxInsurance_Start),MONTH(in_FxInsurance_Start),1),in_FxInsurance,0)</f>
        <v/>
      </c>
      <c r="I101" s="45">
        <f>IF(I$23&gt;=DATE(YEAR(in_FxInsurance_Start),MONTH(in_FxInsurance_Start),1),in_FxInsurance,0)</f>
        <v/>
      </c>
      <c r="J101" s="45">
        <f>IF(J$23&gt;=DATE(YEAR(in_FxInsurance_Start),MONTH(in_FxInsurance_Start),1),in_FxInsurance,0)</f>
        <v/>
      </c>
      <c r="K101" s="45">
        <f>IF(K$23&gt;=DATE(YEAR(in_FxInsurance_Start),MONTH(in_FxInsurance_Start),1),in_FxInsurance,0)</f>
        <v/>
      </c>
      <c r="L101" s="45">
        <f>IF(L$23&gt;=DATE(YEAR(in_FxInsurance_Start),MONTH(in_FxInsurance_Start),1),in_FxInsurance,0)</f>
        <v/>
      </c>
      <c r="M101" s="45">
        <f>IF(M$23&gt;=DATE(YEAR(in_FxInsurance_Start),MONTH(in_FxInsurance_Start),1),in_FxInsurance,0)</f>
        <v/>
      </c>
      <c r="N101" s="45">
        <f>IF(N$23&gt;=DATE(YEAR(in_FxInsurance_Start),MONTH(in_FxInsurance_Start),1),in_FxInsurance,0)</f>
        <v/>
      </c>
      <c r="O101" s="45">
        <f>IF(O$23&gt;=DATE(YEAR(in_FxInsurance_Start),MONTH(in_FxInsurance_Start),1),in_FxInsurance,0)</f>
        <v/>
      </c>
      <c r="P101" s="45">
        <f>IF(P$23&gt;=DATE(YEAR(in_FxInsurance_Start),MONTH(in_FxInsurance_Start),1),in_FxInsurance,0)</f>
        <v/>
      </c>
      <c r="Q101" s="45">
        <f>IF(Q$23&gt;=DATE(YEAR(in_FxInsurance_Start),MONTH(in_FxInsurance_Start),1),in_FxInsurance,0)</f>
        <v/>
      </c>
      <c r="R101" s="46">
        <f>SUM(C101:Q101)</f>
        <v/>
      </c>
    </row>
    <row r="102">
      <c r="A102" s="10" t="inlineStr">
        <is>
          <t>Other software (SMS credits, apps)</t>
        </is>
      </c>
      <c r="C102" s="45">
        <f>IF(C$23&gt;=DATE(YEAR(in_FxSoftware_Start),MONTH(in_FxSoftware_Start),1),in_FxSoftware,0)</f>
        <v/>
      </c>
      <c r="D102" s="45">
        <f>IF(D$23&gt;=DATE(YEAR(in_FxSoftware_Start),MONTH(in_FxSoftware_Start),1),in_FxSoftware,0)</f>
        <v/>
      </c>
      <c r="E102" s="45">
        <f>IF(E$23&gt;=DATE(YEAR(in_FxSoftware_Start),MONTH(in_FxSoftware_Start),1),in_FxSoftware,0)</f>
        <v/>
      </c>
      <c r="F102" s="45">
        <f>IF(F$23&gt;=DATE(YEAR(in_FxSoftware_Start),MONTH(in_FxSoftware_Start),1),in_FxSoftware,0)</f>
        <v/>
      </c>
      <c r="G102" s="45">
        <f>IF(G$23&gt;=DATE(YEAR(in_FxSoftware_Start),MONTH(in_FxSoftware_Start),1),in_FxSoftware,0)</f>
        <v/>
      </c>
      <c r="H102" s="45">
        <f>IF(H$23&gt;=DATE(YEAR(in_FxSoftware_Start),MONTH(in_FxSoftware_Start),1),in_FxSoftware,0)</f>
        <v/>
      </c>
      <c r="I102" s="45">
        <f>IF(I$23&gt;=DATE(YEAR(in_FxSoftware_Start),MONTH(in_FxSoftware_Start),1),in_FxSoftware,0)</f>
        <v/>
      </c>
      <c r="J102" s="45">
        <f>IF(J$23&gt;=DATE(YEAR(in_FxSoftware_Start),MONTH(in_FxSoftware_Start),1),in_FxSoftware,0)</f>
        <v/>
      </c>
      <c r="K102" s="45">
        <f>IF(K$23&gt;=DATE(YEAR(in_FxSoftware_Start),MONTH(in_FxSoftware_Start),1),in_FxSoftware,0)</f>
        <v/>
      </c>
      <c r="L102" s="45">
        <f>IF(L$23&gt;=DATE(YEAR(in_FxSoftware_Start),MONTH(in_FxSoftware_Start),1),in_FxSoftware,0)</f>
        <v/>
      </c>
      <c r="M102" s="45">
        <f>IF(M$23&gt;=DATE(YEAR(in_FxSoftware_Start),MONTH(in_FxSoftware_Start),1),in_FxSoftware,0)</f>
        <v/>
      </c>
      <c r="N102" s="45">
        <f>IF(N$23&gt;=DATE(YEAR(in_FxSoftware_Start),MONTH(in_FxSoftware_Start),1),in_FxSoftware,0)</f>
        <v/>
      </c>
      <c r="O102" s="45">
        <f>IF(O$23&gt;=DATE(YEAR(in_FxSoftware_Start),MONTH(in_FxSoftware_Start),1),in_FxSoftware,0)</f>
        <v/>
      </c>
      <c r="P102" s="45">
        <f>IF(P$23&gt;=DATE(YEAR(in_FxSoftware_Start),MONTH(in_FxSoftware_Start),1),in_FxSoftware,0)</f>
        <v/>
      </c>
      <c r="Q102" s="45">
        <f>IF(Q$23&gt;=DATE(YEAR(in_FxSoftware_Start),MONTH(in_FxSoftware_Start),1),in_FxSoftware,0)</f>
        <v/>
      </c>
      <c r="R102" s="46">
        <f>SUM(C102:Q102)</f>
        <v/>
      </c>
    </row>
    <row r="103">
      <c r="A103" s="10" t="inlineStr">
        <is>
          <t>Bookkeeping</t>
        </is>
      </c>
      <c r="C103" s="45">
        <f>IF(C$23&gt;=DATE(YEAR(in_FxBooks_Start),MONTH(in_FxBooks_Start),1),in_FxBooks,0)</f>
        <v/>
      </c>
      <c r="D103" s="45">
        <f>IF(D$23&gt;=DATE(YEAR(in_FxBooks_Start),MONTH(in_FxBooks_Start),1),in_FxBooks,0)</f>
        <v/>
      </c>
      <c r="E103" s="45">
        <f>IF(E$23&gt;=DATE(YEAR(in_FxBooks_Start),MONTH(in_FxBooks_Start),1),in_FxBooks,0)</f>
        <v/>
      </c>
      <c r="F103" s="45">
        <f>IF(F$23&gt;=DATE(YEAR(in_FxBooks_Start),MONTH(in_FxBooks_Start),1),in_FxBooks,0)</f>
        <v/>
      </c>
      <c r="G103" s="45">
        <f>IF(G$23&gt;=DATE(YEAR(in_FxBooks_Start),MONTH(in_FxBooks_Start),1),in_FxBooks,0)</f>
        <v/>
      </c>
      <c r="H103" s="45">
        <f>IF(H$23&gt;=DATE(YEAR(in_FxBooks_Start),MONTH(in_FxBooks_Start),1),in_FxBooks,0)</f>
        <v/>
      </c>
      <c r="I103" s="45">
        <f>IF(I$23&gt;=DATE(YEAR(in_FxBooks_Start),MONTH(in_FxBooks_Start),1),in_FxBooks,0)</f>
        <v/>
      </c>
      <c r="J103" s="45">
        <f>IF(J$23&gt;=DATE(YEAR(in_FxBooks_Start),MONTH(in_FxBooks_Start),1),in_FxBooks,0)</f>
        <v/>
      </c>
      <c r="K103" s="45">
        <f>IF(K$23&gt;=DATE(YEAR(in_FxBooks_Start),MONTH(in_FxBooks_Start),1),in_FxBooks,0)</f>
        <v/>
      </c>
      <c r="L103" s="45">
        <f>IF(L$23&gt;=DATE(YEAR(in_FxBooks_Start),MONTH(in_FxBooks_Start),1),in_FxBooks,0)</f>
        <v/>
      </c>
      <c r="M103" s="45">
        <f>IF(M$23&gt;=DATE(YEAR(in_FxBooks_Start),MONTH(in_FxBooks_Start),1),in_FxBooks,0)</f>
        <v/>
      </c>
      <c r="N103" s="45">
        <f>IF(N$23&gt;=DATE(YEAR(in_FxBooks_Start),MONTH(in_FxBooks_Start),1),in_FxBooks,0)</f>
        <v/>
      </c>
      <c r="O103" s="45">
        <f>IF(O$23&gt;=DATE(YEAR(in_FxBooks_Start),MONTH(in_FxBooks_Start),1),in_FxBooks,0)</f>
        <v/>
      </c>
      <c r="P103" s="45">
        <f>IF(P$23&gt;=DATE(YEAR(in_FxBooks_Start),MONTH(in_FxBooks_Start),1),in_FxBooks,0)</f>
        <v/>
      </c>
      <c r="Q103" s="45">
        <f>IF(Q$23&gt;=DATE(YEAR(in_FxBooks_Start),MONTH(in_FxBooks_Start),1),in_FxBooks,0)</f>
        <v/>
      </c>
      <c r="R103" s="46">
        <f>SUM(C103:Q103)</f>
        <v/>
      </c>
    </row>
    <row r="104">
      <c r="A104" s="10" t="inlineStr">
        <is>
          <t>Amazon Professional plan</t>
        </is>
      </c>
      <c r="C104" s="45">
        <f>IF(C$23&gt;=DATE(YEAR(in_FxAmazon_Start),MONTH(in_FxAmazon_Start),1),in_FxAmazon,0)</f>
        <v/>
      </c>
      <c r="D104" s="45">
        <f>IF(D$23&gt;=DATE(YEAR(in_FxAmazon_Start),MONTH(in_FxAmazon_Start),1),in_FxAmazon,0)</f>
        <v/>
      </c>
      <c r="E104" s="45">
        <f>IF(E$23&gt;=DATE(YEAR(in_FxAmazon_Start),MONTH(in_FxAmazon_Start),1),in_FxAmazon,0)</f>
        <v/>
      </c>
      <c r="F104" s="45">
        <f>IF(F$23&gt;=DATE(YEAR(in_FxAmazon_Start),MONTH(in_FxAmazon_Start),1),in_FxAmazon,0)</f>
        <v/>
      </c>
      <c r="G104" s="45">
        <f>IF(G$23&gt;=DATE(YEAR(in_FxAmazon_Start),MONTH(in_FxAmazon_Start),1),in_FxAmazon,0)</f>
        <v/>
      </c>
      <c r="H104" s="45">
        <f>IF(H$23&gt;=DATE(YEAR(in_FxAmazon_Start),MONTH(in_FxAmazon_Start),1),in_FxAmazon,0)</f>
        <v/>
      </c>
      <c r="I104" s="45">
        <f>IF(I$23&gt;=DATE(YEAR(in_FxAmazon_Start),MONTH(in_FxAmazon_Start),1),in_FxAmazon,0)</f>
        <v/>
      </c>
      <c r="J104" s="45">
        <f>IF(J$23&gt;=DATE(YEAR(in_FxAmazon_Start),MONTH(in_FxAmazon_Start),1),in_FxAmazon,0)</f>
        <v/>
      </c>
      <c r="K104" s="45">
        <f>IF(K$23&gt;=DATE(YEAR(in_FxAmazon_Start),MONTH(in_FxAmazon_Start),1),in_FxAmazon,0)</f>
        <v/>
      </c>
      <c r="L104" s="45">
        <f>IF(L$23&gt;=DATE(YEAR(in_FxAmazon_Start),MONTH(in_FxAmazon_Start),1),in_FxAmazon,0)</f>
        <v/>
      </c>
      <c r="M104" s="45">
        <f>IF(M$23&gt;=DATE(YEAR(in_FxAmazon_Start),MONTH(in_FxAmazon_Start),1),in_FxAmazon,0)</f>
        <v/>
      </c>
      <c r="N104" s="45">
        <f>IF(N$23&gt;=DATE(YEAR(in_FxAmazon_Start),MONTH(in_FxAmazon_Start),1),in_FxAmazon,0)</f>
        <v/>
      </c>
      <c r="O104" s="45">
        <f>IF(O$23&gt;=DATE(YEAR(in_FxAmazon_Start),MONTH(in_FxAmazon_Start),1),in_FxAmazon,0)</f>
        <v/>
      </c>
      <c r="P104" s="45">
        <f>IF(P$23&gt;=DATE(YEAR(in_FxAmazon_Start),MONTH(in_FxAmazon_Start),1),in_FxAmazon,0)</f>
        <v/>
      </c>
      <c r="Q104" s="45">
        <f>IF(Q$23&gt;=DATE(YEAR(in_FxAmazon_Start),MONTH(in_FxAmazon_Start),1),in_FxAmazon,0)</f>
        <v/>
      </c>
      <c r="R104" s="46">
        <f>SUM(C104:Q104)</f>
        <v/>
      </c>
    </row>
    <row r="105">
      <c r="A105" s="26" t="inlineStr">
        <is>
          <t>Total fixed costs</t>
        </is>
      </c>
      <c r="C105" s="47">
        <f>SUM(C99:C104)</f>
        <v/>
      </c>
      <c r="D105" s="47">
        <f>SUM(D99:D104)</f>
        <v/>
      </c>
      <c r="E105" s="47">
        <f>SUM(E99:E104)</f>
        <v/>
      </c>
      <c r="F105" s="47">
        <f>SUM(F99:F104)</f>
        <v/>
      </c>
      <c r="G105" s="47">
        <f>SUM(G99:G104)</f>
        <v/>
      </c>
      <c r="H105" s="47">
        <f>SUM(H99:H104)</f>
        <v/>
      </c>
      <c r="I105" s="47">
        <f>SUM(I99:I104)</f>
        <v/>
      </c>
      <c r="J105" s="47">
        <f>SUM(J99:J104)</f>
        <v/>
      </c>
      <c r="K105" s="47">
        <f>SUM(K99:K104)</f>
        <v/>
      </c>
      <c r="L105" s="47">
        <f>SUM(L99:L104)</f>
        <v/>
      </c>
      <c r="M105" s="47">
        <f>SUM(M99:M104)</f>
        <v/>
      </c>
      <c r="N105" s="47">
        <f>SUM(N99:N104)</f>
        <v/>
      </c>
      <c r="O105" s="47">
        <f>SUM(O99:O104)</f>
        <v/>
      </c>
      <c r="P105" s="47">
        <f>SUM(P99:P104)</f>
        <v/>
      </c>
      <c r="Q105" s="47">
        <f>SUM(Q99:Q104)</f>
        <v/>
      </c>
      <c r="R105" s="46">
        <f>SUM(C105:Q105)</f>
        <v/>
      </c>
    </row>
    <row r="107">
      <c r="A107" s="7" t="inlineStr">
        <is>
          <t>One-time launch costs (cash out)</t>
        </is>
      </c>
      <c r="B107" s="8" t="n"/>
      <c r="C107" s="8" t="n"/>
      <c r="D107" s="8" t="n"/>
      <c r="E107" s="8" t="n"/>
      <c r="F107" s="8" t="n"/>
      <c r="G107" s="8" t="n"/>
      <c r="H107" s="8" t="n"/>
      <c r="I107" s="8" t="n"/>
      <c r="J107" s="8" t="n"/>
      <c r="K107" s="8" t="n"/>
      <c r="L107" s="8" t="n"/>
      <c r="M107" s="8" t="n"/>
      <c r="N107" s="8" t="n"/>
      <c r="O107" s="8" t="n"/>
      <c r="P107" s="8" t="n"/>
      <c r="Q107" s="8" t="n"/>
      <c r="R107" s="8" t="n"/>
    </row>
    <row r="108">
      <c r="A108" s="10" t="inlineStr">
        <is>
          <t>Company, trademark, lawyer review, insurance setup</t>
        </is>
      </c>
      <c r="C108" s="45">
        <f>IF(EOMONTH(in_OtCompany_D,0)=EOMONTH(C$23,0),IF($B$3="Lean",in_OtCompany_L,in_OtCompany_S),0)</f>
        <v/>
      </c>
      <c r="D108" s="45">
        <f>IF(EOMONTH(in_OtCompany_D,0)=EOMONTH(D$23,0),IF($B$3="Lean",in_OtCompany_L,in_OtCompany_S),0)</f>
        <v/>
      </c>
      <c r="E108" s="45">
        <f>IF(EOMONTH(in_OtCompany_D,0)=EOMONTH(E$23,0),IF($B$3="Lean",in_OtCompany_L,in_OtCompany_S),0)</f>
        <v/>
      </c>
      <c r="F108" s="45">
        <f>IF(EOMONTH(in_OtCompany_D,0)=EOMONTH(F$23,0),IF($B$3="Lean",in_OtCompany_L,in_OtCompany_S),0)</f>
        <v/>
      </c>
      <c r="G108" s="45">
        <f>IF(EOMONTH(in_OtCompany_D,0)=EOMONTH(G$23,0),IF($B$3="Lean",in_OtCompany_L,in_OtCompany_S),0)</f>
        <v/>
      </c>
      <c r="H108" s="45">
        <f>IF(EOMONTH(in_OtCompany_D,0)=EOMONTH(H$23,0),IF($B$3="Lean",in_OtCompany_L,in_OtCompany_S),0)</f>
        <v/>
      </c>
      <c r="I108" s="45">
        <f>IF(EOMONTH(in_OtCompany_D,0)=EOMONTH(I$23,0),IF($B$3="Lean",in_OtCompany_L,in_OtCompany_S),0)</f>
        <v/>
      </c>
      <c r="J108" s="45">
        <f>IF(EOMONTH(in_OtCompany_D,0)=EOMONTH(J$23,0),IF($B$3="Lean",in_OtCompany_L,in_OtCompany_S),0)</f>
        <v/>
      </c>
      <c r="K108" s="45">
        <f>IF(EOMONTH(in_OtCompany_D,0)=EOMONTH(K$23,0),IF($B$3="Lean",in_OtCompany_L,in_OtCompany_S),0)</f>
        <v/>
      </c>
      <c r="L108" s="45">
        <f>IF(EOMONTH(in_OtCompany_D,0)=EOMONTH(L$23,0),IF($B$3="Lean",in_OtCompany_L,in_OtCompany_S),0)</f>
        <v/>
      </c>
      <c r="M108" s="45">
        <f>IF(EOMONTH(in_OtCompany_D,0)=EOMONTH(M$23,0),IF($B$3="Lean",in_OtCompany_L,in_OtCompany_S),0)</f>
        <v/>
      </c>
      <c r="N108" s="45">
        <f>IF(EOMONTH(in_OtCompany_D,0)=EOMONTH(N$23,0),IF($B$3="Lean",in_OtCompany_L,in_OtCompany_S),0)</f>
        <v/>
      </c>
      <c r="O108" s="45">
        <f>IF(EOMONTH(in_OtCompany_D,0)=EOMONTH(O$23,0),IF($B$3="Lean",in_OtCompany_L,in_OtCompany_S),0)</f>
        <v/>
      </c>
      <c r="P108" s="45">
        <f>IF(EOMONTH(in_OtCompany_D,0)=EOMONTH(P$23,0),IF($B$3="Lean",in_OtCompany_L,in_OtCompany_S),0)</f>
        <v/>
      </c>
      <c r="Q108" s="45">
        <f>IF(EOMONTH(in_OtCompany_D,0)=EOMONTH(Q$23,0),IF($B$3="Lean",in_OtCompany_L,in_OtCompany_S),0)</f>
        <v/>
      </c>
      <c r="R108" s="46">
        <f>SUM(C108:Q108)</f>
        <v/>
      </c>
    </row>
    <row r="109">
      <c r="A109" s="10" t="inlineStr">
        <is>
          <t>Samples and flavour development (Strawberry)</t>
        </is>
      </c>
      <c r="C109" s="45">
        <f>IF(EOMONTH(in_OtSamples_D,0)=EOMONTH(C$23,0),IF($B$3="Lean",in_OtSamples_L,in_OtSamples_S),0)</f>
        <v/>
      </c>
      <c r="D109" s="45">
        <f>IF(EOMONTH(in_OtSamples_D,0)=EOMONTH(D$23,0),IF($B$3="Lean",in_OtSamples_L,in_OtSamples_S),0)</f>
        <v/>
      </c>
      <c r="E109" s="45">
        <f>IF(EOMONTH(in_OtSamples_D,0)=EOMONTH(E$23,0),IF($B$3="Lean",in_OtSamples_L,in_OtSamples_S),0)</f>
        <v/>
      </c>
      <c r="F109" s="45">
        <f>IF(EOMONTH(in_OtSamples_D,0)=EOMONTH(F$23,0),IF($B$3="Lean",in_OtSamples_L,in_OtSamples_S),0)</f>
        <v/>
      </c>
      <c r="G109" s="45">
        <f>IF(EOMONTH(in_OtSamples_D,0)=EOMONTH(G$23,0),IF($B$3="Lean",in_OtSamples_L,in_OtSamples_S),0)</f>
        <v/>
      </c>
      <c r="H109" s="45">
        <f>IF(EOMONTH(in_OtSamples_D,0)=EOMONTH(H$23,0),IF($B$3="Lean",in_OtSamples_L,in_OtSamples_S),0)</f>
        <v/>
      </c>
      <c r="I109" s="45">
        <f>IF(EOMONTH(in_OtSamples_D,0)=EOMONTH(I$23,0),IF($B$3="Lean",in_OtSamples_L,in_OtSamples_S),0)</f>
        <v/>
      </c>
      <c r="J109" s="45">
        <f>IF(EOMONTH(in_OtSamples_D,0)=EOMONTH(J$23,0),IF($B$3="Lean",in_OtSamples_L,in_OtSamples_S),0)</f>
        <v/>
      </c>
      <c r="K109" s="45">
        <f>IF(EOMONTH(in_OtSamples_D,0)=EOMONTH(K$23,0),IF($B$3="Lean",in_OtSamples_L,in_OtSamples_S),0)</f>
        <v/>
      </c>
      <c r="L109" s="45">
        <f>IF(EOMONTH(in_OtSamples_D,0)=EOMONTH(L$23,0),IF($B$3="Lean",in_OtSamples_L,in_OtSamples_S),0)</f>
        <v/>
      </c>
      <c r="M109" s="45">
        <f>IF(EOMONTH(in_OtSamples_D,0)=EOMONTH(M$23,0),IF($B$3="Lean",in_OtSamples_L,in_OtSamples_S),0)</f>
        <v/>
      </c>
      <c r="N109" s="45">
        <f>IF(EOMONTH(in_OtSamples_D,0)=EOMONTH(N$23,0),IF($B$3="Lean",in_OtSamples_L,in_OtSamples_S),0)</f>
        <v/>
      </c>
      <c r="O109" s="45">
        <f>IF(EOMONTH(in_OtSamples_D,0)=EOMONTH(O$23,0),IF($B$3="Lean",in_OtSamples_L,in_OtSamples_S),0)</f>
        <v/>
      </c>
      <c r="P109" s="45">
        <f>IF(EOMONTH(in_OtSamples_D,0)=EOMONTH(P$23,0),IF($B$3="Lean",in_OtSamples_L,in_OtSamples_S),0)</f>
        <v/>
      </c>
      <c r="Q109" s="45">
        <f>IF(EOMONTH(in_OtSamples_D,0)=EOMONTH(Q$23,0),IF($B$3="Lean",in_OtSamples_L,in_OtSamples_S),0)</f>
        <v/>
      </c>
      <c r="R109" s="46">
        <f>SUM(C109:Q109)</f>
        <v/>
      </c>
    </row>
    <row r="110">
      <c r="A110" s="10" t="inlineStr">
        <is>
          <t>Label and regulatory review</t>
        </is>
      </c>
      <c r="C110" s="45">
        <f>IF(EOMONTH(in_OtLabel_D,0)=EOMONTH(C$23,0),IF($B$3="Lean",in_OtLabel_L,in_OtLabel_S),0)</f>
        <v/>
      </c>
      <c r="D110" s="45">
        <f>IF(EOMONTH(in_OtLabel_D,0)=EOMONTH(D$23,0),IF($B$3="Lean",in_OtLabel_L,in_OtLabel_S),0)</f>
        <v/>
      </c>
      <c r="E110" s="45">
        <f>IF(EOMONTH(in_OtLabel_D,0)=EOMONTH(E$23,0),IF($B$3="Lean",in_OtLabel_L,in_OtLabel_S),0)</f>
        <v/>
      </c>
      <c r="F110" s="45">
        <f>IF(EOMONTH(in_OtLabel_D,0)=EOMONTH(F$23,0),IF($B$3="Lean",in_OtLabel_L,in_OtLabel_S),0)</f>
        <v/>
      </c>
      <c r="G110" s="45">
        <f>IF(EOMONTH(in_OtLabel_D,0)=EOMONTH(G$23,0),IF($B$3="Lean",in_OtLabel_L,in_OtLabel_S),0)</f>
        <v/>
      </c>
      <c r="H110" s="45">
        <f>IF(EOMONTH(in_OtLabel_D,0)=EOMONTH(H$23,0),IF($B$3="Lean",in_OtLabel_L,in_OtLabel_S),0)</f>
        <v/>
      </c>
      <c r="I110" s="45">
        <f>IF(EOMONTH(in_OtLabel_D,0)=EOMONTH(I$23,0),IF($B$3="Lean",in_OtLabel_L,in_OtLabel_S),0)</f>
        <v/>
      </c>
      <c r="J110" s="45">
        <f>IF(EOMONTH(in_OtLabel_D,0)=EOMONTH(J$23,0),IF($B$3="Lean",in_OtLabel_L,in_OtLabel_S),0)</f>
        <v/>
      </c>
      <c r="K110" s="45">
        <f>IF(EOMONTH(in_OtLabel_D,0)=EOMONTH(K$23,0),IF($B$3="Lean",in_OtLabel_L,in_OtLabel_S),0)</f>
        <v/>
      </c>
      <c r="L110" s="45">
        <f>IF(EOMONTH(in_OtLabel_D,0)=EOMONTH(L$23,0),IF($B$3="Lean",in_OtLabel_L,in_OtLabel_S),0)</f>
        <v/>
      </c>
      <c r="M110" s="45">
        <f>IF(EOMONTH(in_OtLabel_D,0)=EOMONTH(M$23,0),IF($B$3="Lean",in_OtLabel_L,in_OtLabel_S),0)</f>
        <v/>
      </c>
      <c r="N110" s="45">
        <f>IF(EOMONTH(in_OtLabel_D,0)=EOMONTH(N$23,0),IF($B$3="Lean",in_OtLabel_L,in_OtLabel_S),0)</f>
        <v/>
      </c>
      <c r="O110" s="45">
        <f>IF(EOMONTH(in_OtLabel_D,0)=EOMONTH(O$23,0),IF($B$3="Lean",in_OtLabel_L,in_OtLabel_S),0)</f>
        <v/>
      </c>
      <c r="P110" s="45">
        <f>IF(EOMONTH(in_OtLabel_D,0)=EOMONTH(P$23,0),IF($B$3="Lean",in_OtLabel_L,in_OtLabel_S),0)</f>
        <v/>
      </c>
      <c r="Q110" s="45">
        <f>IF(EOMONTH(in_OtLabel_D,0)=EOMONTH(Q$23,0),IF($B$3="Lean",in_OtLabel_L,in_OtLabel_S),0)</f>
        <v/>
      </c>
      <c r="R110" s="46">
        <f>SUM(C110:Q110)</f>
        <v/>
      </c>
    </row>
    <row r="111">
      <c r="A111" s="10" t="inlineStr">
        <is>
          <t>Launch kit: shakers, display, sampling supplies, apps</t>
        </is>
      </c>
      <c r="C111" s="45">
        <f>IF(EOMONTH(in_OtKit_D,0)=EOMONTH(C$23,0),IF($B$3="Lean",in_OtKit_L,in_OtKit_S),0)</f>
        <v/>
      </c>
      <c r="D111" s="45">
        <f>IF(EOMONTH(in_OtKit_D,0)=EOMONTH(D$23,0),IF($B$3="Lean",in_OtKit_L,in_OtKit_S),0)</f>
        <v/>
      </c>
      <c r="E111" s="45">
        <f>IF(EOMONTH(in_OtKit_D,0)=EOMONTH(E$23,0),IF($B$3="Lean",in_OtKit_L,in_OtKit_S),0)</f>
        <v/>
      </c>
      <c r="F111" s="45">
        <f>IF(EOMONTH(in_OtKit_D,0)=EOMONTH(F$23,0),IF($B$3="Lean",in_OtKit_L,in_OtKit_S),0)</f>
        <v/>
      </c>
      <c r="G111" s="45">
        <f>IF(EOMONTH(in_OtKit_D,0)=EOMONTH(G$23,0),IF($B$3="Lean",in_OtKit_L,in_OtKit_S),0)</f>
        <v/>
      </c>
      <c r="H111" s="45">
        <f>IF(EOMONTH(in_OtKit_D,0)=EOMONTH(H$23,0),IF($B$3="Lean",in_OtKit_L,in_OtKit_S),0)</f>
        <v/>
      </c>
      <c r="I111" s="45">
        <f>IF(EOMONTH(in_OtKit_D,0)=EOMONTH(I$23,0),IF($B$3="Lean",in_OtKit_L,in_OtKit_S),0)</f>
        <v/>
      </c>
      <c r="J111" s="45">
        <f>IF(EOMONTH(in_OtKit_D,0)=EOMONTH(J$23,0),IF($B$3="Lean",in_OtKit_L,in_OtKit_S),0)</f>
        <v/>
      </c>
      <c r="K111" s="45">
        <f>IF(EOMONTH(in_OtKit_D,0)=EOMONTH(K$23,0),IF($B$3="Lean",in_OtKit_L,in_OtKit_S),0)</f>
        <v/>
      </c>
      <c r="L111" s="45">
        <f>IF(EOMONTH(in_OtKit_D,0)=EOMONTH(L$23,0),IF($B$3="Lean",in_OtKit_L,in_OtKit_S),0)</f>
        <v/>
      </c>
      <c r="M111" s="45">
        <f>IF(EOMONTH(in_OtKit_D,0)=EOMONTH(M$23,0),IF($B$3="Lean",in_OtKit_L,in_OtKit_S),0)</f>
        <v/>
      </c>
      <c r="N111" s="45">
        <f>IF(EOMONTH(in_OtKit_D,0)=EOMONTH(N$23,0),IF($B$3="Lean",in_OtKit_L,in_OtKit_S),0)</f>
        <v/>
      </c>
      <c r="O111" s="45">
        <f>IF(EOMONTH(in_OtKit_D,0)=EOMONTH(O$23,0),IF($B$3="Lean",in_OtKit_L,in_OtKit_S),0)</f>
        <v/>
      </c>
      <c r="P111" s="45">
        <f>IF(EOMONTH(in_OtKit_D,0)=EOMONTH(P$23,0),IF($B$3="Lean",in_OtKit_L,in_OtKit_S),0)</f>
        <v/>
      </c>
      <c r="Q111" s="45">
        <f>IF(EOMONTH(in_OtKit_D,0)=EOMONTH(Q$23,0),IF($B$3="Lean",in_OtKit_L,in_OtKit_S),0)</f>
        <v/>
      </c>
      <c r="R111" s="46">
        <f>SUM(C111:Q111)</f>
        <v/>
      </c>
    </row>
    <row r="112">
      <c r="A112" s="10" t="inlineStr">
        <is>
          <t>Real Fruit Hydration sticks (development and first run)</t>
        </is>
      </c>
      <c r="C112" s="45">
        <f>IF(EOMONTH(in_OtHydra_D,0)=EOMONTH(C$23,0),IF($B$3="Lean",in_OtHydra_L,in_OtHydra_S),0)*in_HydraOn</f>
        <v/>
      </c>
      <c r="D112" s="45">
        <f>IF(EOMONTH(in_OtHydra_D,0)=EOMONTH(D$23,0),IF($B$3="Lean",in_OtHydra_L,in_OtHydra_S),0)*in_HydraOn</f>
        <v/>
      </c>
      <c r="E112" s="45">
        <f>IF(EOMONTH(in_OtHydra_D,0)=EOMONTH(E$23,0),IF($B$3="Lean",in_OtHydra_L,in_OtHydra_S),0)*in_HydraOn</f>
        <v/>
      </c>
      <c r="F112" s="45">
        <f>IF(EOMONTH(in_OtHydra_D,0)=EOMONTH(F$23,0),IF($B$3="Lean",in_OtHydra_L,in_OtHydra_S),0)*in_HydraOn</f>
        <v/>
      </c>
      <c r="G112" s="45">
        <f>IF(EOMONTH(in_OtHydra_D,0)=EOMONTH(G$23,0),IF($B$3="Lean",in_OtHydra_L,in_OtHydra_S),0)*in_HydraOn</f>
        <v/>
      </c>
      <c r="H112" s="45">
        <f>IF(EOMONTH(in_OtHydra_D,0)=EOMONTH(H$23,0),IF($B$3="Lean",in_OtHydra_L,in_OtHydra_S),0)*in_HydraOn</f>
        <v/>
      </c>
      <c r="I112" s="45">
        <f>IF(EOMONTH(in_OtHydra_D,0)=EOMONTH(I$23,0),IF($B$3="Lean",in_OtHydra_L,in_OtHydra_S),0)*in_HydraOn</f>
        <v/>
      </c>
      <c r="J112" s="45">
        <f>IF(EOMONTH(in_OtHydra_D,0)=EOMONTH(J$23,0),IF($B$3="Lean",in_OtHydra_L,in_OtHydra_S),0)*in_HydraOn</f>
        <v/>
      </c>
      <c r="K112" s="45">
        <f>IF(EOMONTH(in_OtHydra_D,0)=EOMONTH(K$23,0),IF($B$3="Lean",in_OtHydra_L,in_OtHydra_S),0)*in_HydraOn</f>
        <v/>
      </c>
      <c r="L112" s="45">
        <f>IF(EOMONTH(in_OtHydra_D,0)=EOMONTH(L$23,0),IF($B$3="Lean",in_OtHydra_L,in_OtHydra_S),0)*in_HydraOn</f>
        <v/>
      </c>
      <c r="M112" s="45">
        <f>IF(EOMONTH(in_OtHydra_D,0)=EOMONTH(M$23,0),IF($B$3="Lean",in_OtHydra_L,in_OtHydra_S),0)*in_HydraOn</f>
        <v/>
      </c>
      <c r="N112" s="45">
        <f>IF(EOMONTH(in_OtHydra_D,0)=EOMONTH(N$23,0),IF($B$3="Lean",in_OtHydra_L,in_OtHydra_S),0)*in_HydraOn</f>
        <v/>
      </c>
      <c r="O112" s="45">
        <f>IF(EOMONTH(in_OtHydra_D,0)=EOMONTH(O$23,0),IF($B$3="Lean",in_OtHydra_L,in_OtHydra_S),0)*in_HydraOn</f>
        <v/>
      </c>
      <c r="P112" s="45">
        <f>IF(EOMONTH(in_OtHydra_D,0)=EOMONTH(P$23,0),IF($B$3="Lean",in_OtHydra_L,in_OtHydra_S),0)*in_HydraOn</f>
        <v/>
      </c>
      <c r="Q112" s="45">
        <f>IF(EOMONTH(in_OtHydra_D,0)=EOMONTH(Q$23,0),IF($B$3="Lean",in_OtHydra_L,in_OtHydra_S),0)*in_HydraOn</f>
        <v/>
      </c>
      <c r="R112" s="46">
        <f>SUM(C112:Q112)</f>
        <v/>
      </c>
    </row>
    <row r="113">
      <c r="A113" s="10" t="inlineStr">
        <is>
          <t>Second protein flavour: samples and development</t>
        </is>
      </c>
      <c r="C113" s="45">
        <f>IF(EOMONTH(in_OtFlavor2_D,0)=EOMONTH(C$23,0),IF($B$3="Lean",in_OtFlavor2_L,in_OtFlavor2_S),0)*in_Flavor2On</f>
        <v/>
      </c>
      <c r="D113" s="45">
        <f>IF(EOMONTH(in_OtFlavor2_D,0)=EOMONTH(D$23,0),IF($B$3="Lean",in_OtFlavor2_L,in_OtFlavor2_S),0)*in_Flavor2On</f>
        <v/>
      </c>
      <c r="E113" s="45">
        <f>IF(EOMONTH(in_OtFlavor2_D,0)=EOMONTH(E$23,0),IF($B$3="Lean",in_OtFlavor2_L,in_OtFlavor2_S),0)*in_Flavor2On</f>
        <v/>
      </c>
      <c r="F113" s="45">
        <f>IF(EOMONTH(in_OtFlavor2_D,0)=EOMONTH(F$23,0),IF($B$3="Lean",in_OtFlavor2_L,in_OtFlavor2_S),0)*in_Flavor2On</f>
        <v/>
      </c>
      <c r="G113" s="45">
        <f>IF(EOMONTH(in_OtFlavor2_D,0)=EOMONTH(G$23,0),IF($B$3="Lean",in_OtFlavor2_L,in_OtFlavor2_S),0)*in_Flavor2On</f>
        <v/>
      </c>
      <c r="H113" s="45">
        <f>IF(EOMONTH(in_OtFlavor2_D,0)=EOMONTH(H$23,0),IF($B$3="Lean",in_OtFlavor2_L,in_OtFlavor2_S),0)*in_Flavor2On</f>
        <v/>
      </c>
      <c r="I113" s="45">
        <f>IF(EOMONTH(in_OtFlavor2_D,0)=EOMONTH(I$23,0),IF($B$3="Lean",in_OtFlavor2_L,in_OtFlavor2_S),0)*in_Flavor2On</f>
        <v/>
      </c>
      <c r="J113" s="45">
        <f>IF(EOMONTH(in_OtFlavor2_D,0)=EOMONTH(J$23,0),IF($B$3="Lean",in_OtFlavor2_L,in_OtFlavor2_S),0)*in_Flavor2On</f>
        <v/>
      </c>
      <c r="K113" s="45">
        <f>IF(EOMONTH(in_OtFlavor2_D,0)=EOMONTH(K$23,0),IF($B$3="Lean",in_OtFlavor2_L,in_OtFlavor2_S),0)*in_Flavor2On</f>
        <v/>
      </c>
      <c r="L113" s="45">
        <f>IF(EOMONTH(in_OtFlavor2_D,0)=EOMONTH(L$23,0),IF($B$3="Lean",in_OtFlavor2_L,in_OtFlavor2_S),0)*in_Flavor2On</f>
        <v/>
      </c>
      <c r="M113" s="45">
        <f>IF(EOMONTH(in_OtFlavor2_D,0)=EOMONTH(M$23,0),IF($B$3="Lean",in_OtFlavor2_L,in_OtFlavor2_S),0)*in_Flavor2On</f>
        <v/>
      </c>
      <c r="N113" s="45">
        <f>IF(EOMONTH(in_OtFlavor2_D,0)=EOMONTH(N$23,0),IF($B$3="Lean",in_OtFlavor2_L,in_OtFlavor2_S),0)*in_Flavor2On</f>
        <v/>
      </c>
      <c r="O113" s="45">
        <f>IF(EOMONTH(in_OtFlavor2_D,0)=EOMONTH(O$23,0),IF($B$3="Lean",in_OtFlavor2_L,in_OtFlavor2_S),0)*in_Flavor2On</f>
        <v/>
      </c>
      <c r="P113" s="45">
        <f>IF(EOMONTH(in_OtFlavor2_D,0)=EOMONTH(P$23,0),IF($B$3="Lean",in_OtFlavor2_L,in_OtFlavor2_S),0)*in_Flavor2On</f>
        <v/>
      </c>
      <c r="Q113" s="45">
        <f>IF(EOMONTH(in_OtFlavor2_D,0)=EOMONTH(Q$23,0),IF($B$3="Lean",in_OtFlavor2_L,in_OtFlavor2_S),0)*in_Flavor2On</f>
        <v/>
      </c>
      <c r="R113" s="46">
        <f>SUM(C113:Q113)</f>
        <v/>
      </c>
    </row>
    <row r="114">
      <c r="A114" s="10" t="inlineStr">
        <is>
          <t>Optional: Picked Creatine via Supliful</t>
        </is>
      </c>
      <c r="C114" s="45">
        <f>IF(EOMONTH(in_OtCreatine_D,0)=EOMONTH(C$23,0),IF($B$3="Lean",in_OtCreatine_L,in_OtCreatine_S),0)</f>
        <v/>
      </c>
      <c r="D114" s="45">
        <f>IF(EOMONTH(in_OtCreatine_D,0)=EOMONTH(D$23,0),IF($B$3="Lean",in_OtCreatine_L,in_OtCreatine_S),0)</f>
        <v/>
      </c>
      <c r="E114" s="45">
        <f>IF(EOMONTH(in_OtCreatine_D,0)=EOMONTH(E$23,0),IF($B$3="Lean",in_OtCreatine_L,in_OtCreatine_S),0)</f>
        <v/>
      </c>
      <c r="F114" s="45">
        <f>IF(EOMONTH(in_OtCreatine_D,0)=EOMONTH(F$23,0),IF($B$3="Lean",in_OtCreatine_L,in_OtCreatine_S),0)</f>
        <v/>
      </c>
      <c r="G114" s="45">
        <f>IF(EOMONTH(in_OtCreatine_D,0)=EOMONTH(G$23,0),IF($B$3="Lean",in_OtCreatine_L,in_OtCreatine_S),0)</f>
        <v/>
      </c>
      <c r="H114" s="45">
        <f>IF(EOMONTH(in_OtCreatine_D,0)=EOMONTH(H$23,0),IF($B$3="Lean",in_OtCreatine_L,in_OtCreatine_S),0)</f>
        <v/>
      </c>
      <c r="I114" s="45">
        <f>IF(EOMONTH(in_OtCreatine_D,0)=EOMONTH(I$23,0),IF($B$3="Lean",in_OtCreatine_L,in_OtCreatine_S),0)</f>
        <v/>
      </c>
      <c r="J114" s="45">
        <f>IF(EOMONTH(in_OtCreatine_D,0)=EOMONTH(J$23,0),IF($B$3="Lean",in_OtCreatine_L,in_OtCreatine_S),0)</f>
        <v/>
      </c>
      <c r="K114" s="45">
        <f>IF(EOMONTH(in_OtCreatine_D,0)=EOMONTH(K$23,0),IF($B$3="Lean",in_OtCreatine_L,in_OtCreatine_S),0)</f>
        <v/>
      </c>
      <c r="L114" s="45">
        <f>IF(EOMONTH(in_OtCreatine_D,0)=EOMONTH(L$23,0),IF($B$3="Lean",in_OtCreatine_L,in_OtCreatine_S),0)</f>
        <v/>
      </c>
      <c r="M114" s="45">
        <f>IF(EOMONTH(in_OtCreatine_D,0)=EOMONTH(M$23,0),IF($B$3="Lean",in_OtCreatine_L,in_OtCreatine_S),0)</f>
        <v/>
      </c>
      <c r="N114" s="45">
        <f>IF(EOMONTH(in_OtCreatine_D,0)=EOMONTH(N$23,0),IF($B$3="Lean",in_OtCreatine_L,in_OtCreatine_S),0)</f>
        <v/>
      </c>
      <c r="O114" s="45">
        <f>IF(EOMONTH(in_OtCreatine_D,0)=EOMONTH(O$23,0),IF($B$3="Lean",in_OtCreatine_L,in_OtCreatine_S),0)</f>
        <v/>
      </c>
      <c r="P114" s="45">
        <f>IF(EOMONTH(in_OtCreatine_D,0)=EOMONTH(P$23,0),IF($B$3="Lean",in_OtCreatine_L,in_OtCreatine_S),0)</f>
        <v/>
      </c>
      <c r="Q114" s="45">
        <f>IF(EOMONTH(in_OtCreatine_D,0)=EOMONTH(Q$23,0),IF($B$3="Lean",in_OtCreatine_L,in_OtCreatine_S),0)</f>
        <v/>
      </c>
      <c r="R114" s="46">
        <f>SUM(C114:Q114)</f>
        <v/>
      </c>
    </row>
    <row r="115">
      <c r="A115" s="26" t="inlineStr">
        <is>
          <t>Total one-time launch costs</t>
        </is>
      </c>
      <c r="C115" s="47">
        <f>SUM(C108:C114)</f>
        <v/>
      </c>
      <c r="D115" s="47">
        <f>SUM(D108:D114)</f>
        <v/>
      </c>
      <c r="E115" s="47">
        <f>SUM(E108:E114)</f>
        <v/>
      </c>
      <c r="F115" s="47">
        <f>SUM(F108:F114)</f>
        <v/>
      </c>
      <c r="G115" s="47">
        <f>SUM(G108:G114)</f>
        <v/>
      </c>
      <c r="H115" s="47">
        <f>SUM(H108:H114)</f>
        <v/>
      </c>
      <c r="I115" s="47">
        <f>SUM(I108:I114)</f>
        <v/>
      </c>
      <c r="J115" s="47">
        <f>SUM(J108:J114)</f>
        <v/>
      </c>
      <c r="K115" s="47">
        <f>SUM(K108:K114)</f>
        <v/>
      </c>
      <c r="L115" s="47">
        <f>SUM(L108:L114)</f>
        <v/>
      </c>
      <c r="M115" s="47">
        <f>SUM(M108:M114)</f>
        <v/>
      </c>
      <c r="N115" s="47">
        <f>SUM(N108:N114)</f>
        <v/>
      </c>
      <c r="O115" s="47">
        <f>SUM(O108:O114)</f>
        <v/>
      </c>
      <c r="P115" s="47">
        <f>SUM(P108:P114)</f>
        <v/>
      </c>
      <c r="Q115" s="47">
        <f>SUM(Q108:Q114)</f>
        <v/>
      </c>
      <c r="R115" s="46">
        <f>SUM(C115:Q115)</f>
        <v/>
      </c>
    </row>
    <row r="117">
      <c r="A117" s="7" t="inlineStr">
        <is>
          <t>Cash position</t>
        </is>
      </c>
      <c r="B117" s="8" t="n"/>
      <c r="C117" s="8" t="n"/>
      <c r="D117" s="8" t="n"/>
      <c r="E117" s="8" t="n"/>
      <c r="F117" s="8" t="n"/>
      <c r="G117" s="8" t="n"/>
      <c r="H117" s="8" t="n"/>
      <c r="I117" s="8" t="n"/>
      <c r="J117" s="8" t="n"/>
      <c r="K117" s="8" t="n"/>
      <c r="L117" s="8" t="n"/>
      <c r="M117" s="8" t="n"/>
      <c r="N117" s="8" t="n"/>
      <c r="O117" s="8" t="n"/>
      <c r="P117" s="8" t="n"/>
      <c r="Q117" s="8" t="n"/>
      <c r="R117" s="8" t="n"/>
    </row>
    <row r="118">
      <c r="A118" s="26" t="inlineStr">
        <is>
          <t>Net cash flow</t>
        </is>
      </c>
      <c r="C118" s="47">
        <f>C77-C84-C91-C96-C105-C115</f>
        <v/>
      </c>
      <c r="D118" s="47">
        <f>D77-D84-D91-D96-D105-D115</f>
        <v/>
      </c>
      <c r="E118" s="47">
        <f>E77-E84-E91-E96-E105-E115</f>
        <v/>
      </c>
      <c r="F118" s="47">
        <f>F77-F84-F91-F96-F105-F115</f>
        <v/>
      </c>
      <c r="G118" s="47">
        <f>G77-G84-G91-G96-G105-G115</f>
        <v/>
      </c>
      <c r="H118" s="47">
        <f>H77-H84-H91-H96-H105-H115</f>
        <v/>
      </c>
      <c r="I118" s="47">
        <f>I77-I84-I91-I96-I105-I115</f>
        <v/>
      </c>
      <c r="J118" s="47">
        <f>J77-J84-J91-J96-J105-J115</f>
        <v/>
      </c>
      <c r="K118" s="47">
        <f>K77-K84-K91-K96-K105-K115</f>
        <v/>
      </c>
      <c r="L118" s="47">
        <f>L77-L84-L91-L96-L105-L115</f>
        <v/>
      </c>
      <c r="M118" s="47">
        <f>M77-M84-M91-M96-M105-M115</f>
        <v/>
      </c>
      <c r="N118" s="47">
        <f>N77-N84-N91-N96-N105-N115</f>
        <v/>
      </c>
      <c r="O118" s="47">
        <f>O77-O84-O91-O96-O105-O115</f>
        <v/>
      </c>
      <c r="P118" s="47">
        <f>P77-P84-P91-P96-P105-P115</f>
        <v/>
      </c>
      <c r="Q118" s="47">
        <f>Q77-Q84-Q91-Q96-Q105-Q115</f>
        <v/>
      </c>
      <c r="R118" s="46">
        <f>SUM(C118:Q118)</f>
        <v/>
      </c>
    </row>
    <row r="119">
      <c r="A119" s="10" t="inlineStr">
        <is>
          <t>Cumulative net cash flow</t>
        </is>
      </c>
      <c r="C119" s="45">
        <f>C118</f>
        <v/>
      </c>
      <c r="D119" s="45">
        <f>C119+D118</f>
        <v/>
      </c>
      <c r="E119" s="45">
        <f>D119+E118</f>
        <v/>
      </c>
      <c r="F119" s="45">
        <f>E119+F118</f>
        <v/>
      </c>
      <c r="G119" s="45">
        <f>F119+G118</f>
        <v/>
      </c>
      <c r="H119" s="45">
        <f>G119+H118</f>
        <v/>
      </c>
      <c r="I119" s="45">
        <f>H119+I118</f>
        <v/>
      </c>
      <c r="J119" s="45">
        <f>I119+J118</f>
        <v/>
      </c>
      <c r="K119" s="45">
        <f>J119+K118</f>
        <v/>
      </c>
      <c r="L119" s="45">
        <f>K119+L118</f>
        <v/>
      </c>
      <c r="M119" s="45">
        <f>L119+M118</f>
        <v/>
      </c>
      <c r="N119" s="45">
        <f>M119+N118</f>
        <v/>
      </c>
      <c r="O119" s="45">
        <f>N119+O118</f>
        <v/>
      </c>
      <c r="P119" s="45">
        <f>O119+P118</f>
        <v/>
      </c>
      <c r="Q119" s="45">
        <f>P119+Q118</f>
        <v/>
      </c>
    </row>
    <row r="120">
      <c r="A120" s="26" t="inlineStr">
        <is>
          <t>Cash balance (starting cash + cumulative)</t>
        </is>
      </c>
      <c r="C120" s="47">
        <f>in_StartCash+C119</f>
        <v/>
      </c>
      <c r="D120" s="47">
        <f>in_StartCash+D119</f>
        <v/>
      </c>
      <c r="E120" s="47">
        <f>in_StartCash+E119</f>
        <v/>
      </c>
      <c r="F120" s="47">
        <f>in_StartCash+F119</f>
        <v/>
      </c>
      <c r="G120" s="47">
        <f>in_StartCash+G119</f>
        <v/>
      </c>
      <c r="H120" s="47">
        <f>in_StartCash+H119</f>
        <v/>
      </c>
      <c r="I120" s="47">
        <f>in_StartCash+I119</f>
        <v/>
      </c>
      <c r="J120" s="47">
        <f>in_StartCash+J119</f>
        <v/>
      </c>
      <c r="K120" s="47">
        <f>in_StartCash+K119</f>
        <v/>
      </c>
      <c r="L120" s="47">
        <f>in_StartCash+L119</f>
        <v/>
      </c>
      <c r="M120" s="47">
        <f>in_StartCash+M119</f>
        <v/>
      </c>
      <c r="N120" s="47">
        <f>in_StartCash+N119</f>
        <v/>
      </c>
      <c r="O120" s="47">
        <f>in_StartCash+O119</f>
        <v/>
      </c>
      <c r="P120" s="47">
        <f>in_StartCash+P119</f>
        <v/>
      </c>
      <c r="Q120" s="47">
        <f>in_StartCash+Q119</f>
        <v/>
      </c>
    </row>
    <row r="121">
      <c r="A121" s="10" t="inlineStr">
        <is>
          <t>Lowest cash month</t>
        </is>
      </c>
      <c r="B121" s="6" t="inlineStr">
        <is>
          <t>Flags the low point</t>
        </is>
      </c>
      <c r="C121" s="10">
        <f>IF(C120=MIN($C$120:$Q$120),"LOWEST","")</f>
        <v/>
      </c>
      <c r="D121" s="10">
        <f>IF(D120=MIN($C$120:$Q$120),"LOWEST","")</f>
        <v/>
      </c>
      <c r="E121" s="10">
        <f>IF(E120=MIN($C$120:$Q$120),"LOWEST","")</f>
        <v/>
      </c>
      <c r="F121" s="10">
        <f>IF(F120=MIN($C$120:$Q$120),"LOWEST","")</f>
        <v/>
      </c>
      <c r="G121" s="10">
        <f>IF(G120=MIN($C$120:$Q$120),"LOWEST","")</f>
        <v/>
      </c>
      <c r="H121" s="10">
        <f>IF(H120=MIN($C$120:$Q$120),"LOWEST","")</f>
        <v/>
      </c>
      <c r="I121" s="10">
        <f>IF(I120=MIN($C$120:$Q$120),"LOWEST","")</f>
        <v/>
      </c>
      <c r="J121" s="10">
        <f>IF(J120=MIN($C$120:$Q$120),"LOWEST","")</f>
        <v/>
      </c>
      <c r="K121" s="10">
        <f>IF(K120=MIN($C$120:$Q$120),"LOWEST","")</f>
        <v/>
      </c>
      <c r="L121" s="10">
        <f>IF(L120=MIN($C$120:$Q$120),"LOWEST","")</f>
        <v/>
      </c>
      <c r="M121" s="10">
        <f>IF(M120=MIN($C$120:$Q$120),"LOWEST","")</f>
        <v/>
      </c>
      <c r="N121" s="10">
        <f>IF(N120=MIN($C$120:$Q$120),"LOWEST","")</f>
        <v/>
      </c>
      <c r="O121" s="10">
        <f>IF(O120=MIN($C$120:$Q$120),"LOWEST","")</f>
        <v/>
      </c>
      <c r="P121" s="10">
        <f>IF(P120=MIN($C$120:$Q$120),"LOWEST","")</f>
        <v/>
      </c>
      <c r="Q121" s="10">
        <f>IF(Q120=MIN($C$120:$Q$120),"LOWEST","")</f>
        <v/>
      </c>
    </row>
    <row r="123">
      <c r="A123" s="7" t="inlineStr">
        <is>
          <t>Operating view (accrual memo: COGS on units sold, launch costs excluded)</t>
        </is>
      </c>
      <c r="B123" s="8" t="n"/>
      <c r="C123" s="8" t="n"/>
      <c r="D123" s="8" t="n"/>
      <c r="E123" s="8" t="n"/>
      <c r="F123" s="8" t="n"/>
      <c r="G123" s="8" t="n"/>
      <c r="H123" s="8" t="n"/>
      <c r="I123" s="8" t="n"/>
      <c r="J123" s="8" t="n"/>
      <c r="K123" s="8" t="n"/>
      <c r="L123" s="8" t="n"/>
      <c r="M123" s="8" t="n"/>
      <c r="N123" s="8" t="n"/>
      <c r="O123" s="8" t="n"/>
      <c r="P123" s="8" t="n"/>
      <c r="Q123" s="8" t="n"/>
      <c r="R123" s="8" t="n"/>
    </row>
    <row r="124">
      <c r="A124" s="10" t="inlineStr">
        <is>
          <t>Revenue (DTC + wholesale invoiced)</t>
        </is>
      </c>
      <c r="C124" s="45">
        <f>C74+C75</f>
        <v/>
      </c>
      <c r="D124" s="45">
        <f>D74+D75</f>
        <v/>
      </c>
      <c r="E124" s="45">
        <f>E74+E75</f>
        <v/>
      </c>
      <c r="F124" s="45">
        <f>F74+F75</f>
        <v/>
      </c>
      <c r="G124" s="45">
        <f>G74+G75</f>
        <v/>
      </c>
      <c r="H124" s="45">
        <f>H74+H75</f>
        <v/>
      </c>
      <c r="I124" s="45">
        <f>I74+I75</f>
        <v/>
      </c>
      <c r="J124" s="45">
        <f>J74+J75</f>
        <v/>
      </c>
      <c r="K124" s="45">
        <f>K74+K75</f>
        <v/>
      </c>
      <c r="L124" s="45">
        <f>L74+L75</f>
        <v/>
      </c>
      <c r="M124" s="45">
        <f>M74+M75</f>
        <v/>
      </c>
      <c r="N124" s="45">
        <f>N74+N75</f>
        <v/>
      </c>
      <c r="O124" s="45">
        <f>O74+O75</f>
        <v/>
      </c>
      <c r="P124" s="45">
        <f>P74+P75</f>
        <v/>
      </c>
      <c r="Q124" s="45">
        <f>Q74+Q75</f>
        <v/>
      </c>
      <c r="R124" s="46">
        <f>SUM(C124:Q124)</f>
        <v/>
      </c>
    </row>
    <row r="125">
      <c r="A125" s="10" t="inlineStr">
        <is>
          <t>COGS on units sold</t>
        </is>
      </c>
      <c r="C125" s="45">
        <f>C53*$B$6+C64*$B$7</f>
        <v/>
      </c>
      <c r="D125" s="45">
        <f>D53*$B$6+D64*$B$7</f>
        <v/>
      </c>
      <c r="E125" s="45">
        <f>E53*$B$6+E64*$B$7</f>
        <v/>
      </c>
      <c r="F125" s="45">
        <f>F53*$B$6+F64*$B$7</f>
        <v/>
      </c>
      <c r="G125" s="45">
        <f>G53*$B$6+G64*$B$7</f>
        <v/>
      </c>
      <c r="H125" s="45">
        <f>H53*$B$6+H64*$B$7</f>
        <v/>
      </c>
      <c r="I125" s="45">
        <f>I53*$B$6+I64*$B$7</f>
        <v/>
      </c>
      <c r="J125" s="45">
        <f>J53*$B$6+J64*$B$7</f>
        <v/>
      </c>
      <c r="K125" s="45">
        <f>K53*$B$6+K64*$B$7</f>
        <v/>
      </c>
      <c r="L125" s="45">
        <f>L53*$B$6+L64*$B$7</f>
        <v/>
      </c>
      <c r="M125" s="45">
        <f>M53*$B$6+M64*$B$7</f>
        <v/>
      </c>
      <c r="N125" s="45">
        <f>N53*$B$6+N64*$B$7</f>
        <v/>
      </c>
      <c r="O125" s="45">
        <f>O53*$B$6+O64*$B$7</f>
        <v/>
      </c>
      <c r="P125" s="45">
        <f>P53*$B$6+P64*$B$7</f>
        <v/>
      </c>
      <c r="Q125" s="45">
        <f>Q53*$B$6+Q64*$B$7</f>
        <v/>
      </c>
      <c r="R125" s="46">
        <f>SUM(C125:Q125)</f>
        <v/>
      </c>
    </row>
    <row r="126">
      <c r="A126" s="26" t="inlineStr">
        <is>
          <t>Operating profit (revenue - COGS - variable - marketing - fixed)</t>
        </is>
      </c>
      <c r="C126" s="47">
        <f>C124-C125-C91-C96-C105</f>
        <v/>
      </c>
      <c r="D126" s="47">
        <f>D124-D125-D91-D96-D105</f>
        <v/>
      </c>
      <c r="E126" s="47">
        <f>E124-E125-E91-E96-E105</f>
        <v/>
      </c>
      <c r="F126" s="47">
        <f>F124-F125-F91-F96-F105</f>
        <v/>
      </c>
      <c r="G126" s="47">
        <f>G124-G125-G91-G96-G105</f>
        <v/>
      </c>
      <c r="H126" s="47">
        <f>H124-H125-H91-H96-H105</f>
        <v/>
      </c>
      <c r="I126" s="47">
        <f>I124-I125-I91-I96-I105</f>
        <v/>
      </c>
      <c r="J126" s="47">
        <f>J124-J125-J91-J96-J105</f>
        <v/>
      </c>
      <c r="K126" s="47">
        <f>K124-K125-K91-K96-K105</f>
        <v/>
      </c>
      <c r="L126" s="47">
        <f>L124-L125-L91-L96-L105</f>
        <v/>
      </c>
      <c r="M126" s="47">
        <f>M124-M125-M91-M96-M105</f>
        <v/>
      </c>
      <c r="N126" s="47">
        <f>N124-N125-N91-N96-N105</f>
        <v/>
      </c>
      <c r="O126" s="47">
        <f>O124-O125-O91-O96-O105</f>
        <v/>
      </c>
      <c r="P126" s="47">
        <f>P124-P125-P91-P96-P105</f>
        <v/>
      </c>
      <c r="Q126" s="47">
        <f>Q124-Q125-Q91-Q96-Q105</f>
        <v/>
      </c>
      <c r="R126" s="46">
        <f>SUM(C126:Q126)</f>
        <v/>
      </c>
    </row>
    <row r="127">
      <c r="A127" s="10" t="inlineStr">
        <is>
          <t>Operating break-even flag (1 = profit &gt;= 0 while selling)</t>
        </is>
      </c>
      <c r="C127" s="39">
        <f>IF(AND(C24=1,C126&gt;=0),1,0)</f>
        <v/>
      </c>
      <c r="D127" s="39">
        <f>IF(AND(D24=1,D126&gt;=0),1,0)</f>
        <v/>
      </c>
      <c r="E127" s="39">
        <f>IF(AND(E24=1,E126&gt;=0),1,0)</f>
        <v/>
      </c>
      <c r="F127" s="39">
        <f>IF(AND(F24=1,F126&gt;=0),1,0)</f>
        <v/>
      </c>
      <c r="G127" s="39">
        <f>IF(AND(G24=1,G126&gt;=0),1,0)</f>
        <v/>
      </c>
      <c r="H127" s="39">
        <f>IF(AND(H24=1,H126&gt;=0),1,0)</f>
        <v/>
      </c>
      <c r="I127" s="39">
        <f>IF(AND(I24=1,I126&gt;=0),1,0)</f>
        <v/>
      </c>
      <c r="J127" s="39">
        <f>IF(AND(J24=1,J126&gt;=0),1,0)</f>
        <v/>
      </c>
      <c r="K127" s="39">
        <f>IF(AND(K24=1,K126&gt;=0),1,0)</f>
        <v/>
      </c>
      <c r="L127" s="39">
        <f>IF(AND(L24=1,L126&gt;=0),1,0)</f>
        <v/>
      </c>
      <c r="M127" s="39">
        <f>IF(AND(M24=1,M126&gt;=0),1,0)</f>
        <v/>
      </c>
      <c r="N127" s="39">
        <f>IF(AND(N24=1,N126&gt;=0),1,0)</f>
        <v/>
      </c>
      <c r="O127" s="39">
        <f>IF(AND(O24=1,O126&gt;=0),1,0)</f>
        <v/>
      </c>
      <c r="P127" s="39">
        <f>IF(AND(P24=1,P126&gt;=0),1,0)</f>
        <v/>
      </c>
      <c r="Q127" s="39">
        <f>IF(AND(Q24=1,Q126&gt;=0),1,0)</f>
        <v/>
      </c>
    </row>
    <row r="128">
      <c r="A128" s="10" t="inlineStr">
        <is>
          <t>Cash payback flag (1 = cumulative net cash &gt;= 0 while selling)</t>
        </is>
      </c>
      <c r="C128" s="39">
        <f>IF(AND(C24=1,C119&gt;=0),1,0)</f>
        <v/>
      </c>
      <c r="D128" s="39">
        <f>IF(AND(D24=1,D119&gt;=0),1,0)</f>
        <v/>
      </c>
      <c r="E128" s="39">
        <f>IF(AND(E24=1,E119&gt;=0),1,0)</f>
        <v/>
      </c>
      <c r="F128" s="39">
        <f>IF(AND(F24=1,F119&gt;=0),1,0)</f>
        <v/>
      </c>
      <c r="G128" s="39">
        <f>IF(AND(G24=1,G119&gt;=0),1,0)</f>
        <v/>
      </c>
      <c r="H128" s="39">
        <f>IF(AND(H24=1,H119&gt;=0),1,0)</f>
        <v/>
      </c>
      <c r="I128" s="39">
        <f>IF(AND(I24=1,I119&gt;=0),1,0)</f>
        <v/>
      </c>
      <c r="J128" s="39">
        <f>IF(AND(J24=1,J119&gt;=0),1,0)</f>
        <v/>
      </c>
      <c r="K128" s="39">
        <f>IF(AND(K24=1,K119&gt;=0),1,0)</f>
        <v/>
      </c>
      <c r="L128" s="39">
        <f>IF(AND(L24=1,L119&gt;=0),1,0)</f>
        <v/>
      </c>
      <c r="M128" s="39">
        <f>IF(AND(M24=1,M119&gt;=0),1,0)</f>
        <v/>
      </c>
      <c r="N128" s="39">
        <f>IF(AND(N24=1,N119&gt;=0),1,0)</f>
        <v/>
      </c>
      <c r="O128" s="39">
        <f>IF(AND(O24=1,O119&gt;=0),1,0)</f>
        <v/>
      </c>
      <c r="P128" s="39">
        <f>IF(AND(P24=1,P119&gt;=0),1,0)</f>
        <v/>
      </c>
      <c r="Q128" s="39">
        <f>IF(AND(Q24=1,Q119&gt;=0),1,0)</f>
        <v/>
      </c>
    </row>
    <row r="129">
      <c r="A129" s="10" t="inlineStr">
        <is>
          <t>Closing inventory at cost</t>
        </is>
      </c>
      <c r="C129" s="45">
        <f>C55*$B$6+C66*$B$7</f>
        <v/>
      </c>
      <c r="D129" s="45">
        <f>D55*$B$6+D66*$B$7</f>
        <v/>
      </c>
      <c r="E129" s="45">
        <f>E55*$B$6+E66*$B$7</f>
        <v/>
      </c>
      <c r="F129" s="45">
        <f>F55*$B$6+F66*$B$7</f>
        <v/>
      </c>
      <c r="G129" s="45">
        <f>G55*$B$6+G66*$B$7</f>
        <v/>
      </c>
      <c r="H129" s="45">
        <f>H55*$B$6+H66*$B$7</f>
        <v/>
      </c>
      <c r="I129" s="45">
        <f>I55*$B$6+I66*$B$7</f>
        <v/>
      </c>
      <c r="J129" s="45">
        <f>J55*$B$6+J66*$B$7</f>
        <v/>
      </c>
      <c r="K129" s="45">
        <f>K55*$B$6+K66*$B$7</f>
        <v/>
      </c>
      <c r="L129" s="45">
        <f>L55*$B$6+L66*$B$7</f>
        <v/>
      </c>
      <c r="M129" s="45">
        <f>M55*$B$6+M66*$B$7</f>
        <v/>
      </c>
      <c r="N129" s="45">
        <f>N55*$B$6+N66*$B$7</f>
        <v/>
      </c>
      <c r="O129" s="45">
        <f>O55*$B$6+O66*$B$7</f>
        <v/>
      </c>
      <c r="P129" s="45">
        <f>P55*$B$6+P66*$B$7</f>
        <v/>
      </c>
      <c r="Q129" s="45">
        <f>Q55*$B$6+Q66*$B$7</f>
        <v/>
      </c>
    </row>
  </sheetData>
  <conditionalFormatting sqref="C120:Q120">
    <cfRule type="expression" priority="1" dxfId="0">
      <formula>C120=MIN($C$120:$Q$120)</formula>
    </cfRule>
  </conditionalFormatting>
  <conditionalFormatting sqref="C121:Q121">
    <cfRule type="expression" priority="2" dxfId="0">
      <formula>C121="LOWEST"</formula>
    </cfRule>
  </conditionalFormatting>
  <conditionalFormatting sqref="C118:Q118">
    <cfRule type="expression" priority="3" dxfId="1">
      <formula>C118&lt;0</formula>
    </cfRule>
  </conditionalFormatting>
  <conditionalFormatting sqref="C54:Q54">
    <cfRule type="expression" priority="4" dxfId="2">
      <formula>C54&gt;0</formula>
    </cfRule>
  </conditionalFormatting>
  <conditionalFormatting sqref="C65:Q65">
    <cfRule type="expression" priority="5" dxfId="2">
      <formula>C65&gt;0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2026-10-04T00:09:36Z</dcterms:created>
  <dcterms:modified xsi:type="dcterms:W3CDTF">2026-10-04T00:09:36Z</dcterms:modified>
</cp:coreProperties>
</file>